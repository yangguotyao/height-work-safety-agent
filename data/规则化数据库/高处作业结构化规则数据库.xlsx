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c66dcda75b443d" /></Relationships>
</file>

<file path=xl/workbook.xml><?xml version="1.0" encoding="utf-8"?>
<x:workbook xmlns:x="http://schemas.openxmlformats.org/spreadsheetml/2006/main">
  <x:sheets>
    <x:sheet xmlns:r="http://schemas.openxmlformats.org/officeDocument/2006/relationships" name="规则库" sheetId="1" r:id="R9fc776dfe5d946cf"/>
    <x:sheet xmlns:r="http://schemas.openxmlformats.org/officeDocument/2006/relationships" name="统计摘要" sheetId="2" r:id="R5917d523b7b04b12"/>
    <x:sheet xmlns:r="http://schemas.openxmlformats.org/officeDocument/2006/relationships" name="规范来源" sheetId="3" r:id="R913a97e1aec94325"/>
    <x:sheet xmlns:r="http://schemas.openxmlformats.org/officeDocument/2006/relationships" name="字段说明" sheetId="4" r:id="Rb4173cf82d724d7b"/>
    <x:sheet xmlns:r="http://schemas.openxmlformats.org/officeDocument/2006/relationships" name="使用说明" sheetId="5" r:id="Rd292889af4504d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8">
    <x:font>
      <x:sz val="11"/>
      <x:name val="Carlito"/>
    </x:font>
    <x:font>
      <x:b/>
      <x:sz val="18"/>
      <x:color rgb="FF1F2937"/>
      <x:name val="Microsoft YaHei"/>
    </x:font>
    <x:font>
      <x:sz val="10"/>
      <x:color rgb="FF6B7280"/>
      <x:name val="Microsoft YaHei"/>
    </x:font>
    <x:font>
      <x:b/>
      <x:sz val="9"/>
      <x:color rgb="FF1F2937"/>
      <x:name val="Microsoft YaHei"/>
    </x:font>
    <x:font>
      <x:sz val="9"/>
      <x:color rgb="FF1F2937"/>
      <x:name val="Microsoft YaHei"/>
    </x:font>
    <x:font>
      <x:sz val="11"/>
      <x:color rgb="FF1F2937"/>
      <x:name val="Microsoft YaHei"/>
    </x:font>
    <x:font>
      <x:sz val="10"/>
      <x:color rgb="FF1F2937"/>
      <x:name val="Microsoft YaHei"/>
    </x:font>
    <x:font>
      <x:b/>
      <x:sz val="11"/>
      <x:color rgb="FF1F2937"/>
      <x:name val="Microsoft YaHei"/>
    </x:font>
  </x:fonts>
  <x:fills count="2">
    <x:fill>
      <x:patternFill patternType="none"/>
    </x:fill>
    <x:fill>
      <x:patternFill patternType="gray125"/>
    </x:fill>
  </x:fills>
  <x:borders count="11">
    <x:border/>
    <x:border>
      <x:bottom style="medium">
        <x:color rgb="FF1F2937"/>
      </x:bottom>
    </x:border>
    <x:border>
      <x:left style="thin">
        <x:color rgb="FFB8BEC7"/>
      </x:left>
      <x:top style="thin">
        <x:color rgb="FFB8BEC7"/>
      </x:top>
      <x:bottom style="medium">
        <x:color rgb="FF1F2937"/>
      </x:bottom>
    </x:border>
    <x:border>
      <x:top style="thin">
        <x:color rgb="FFB8BEC7"/>
      </x:top>
      <x:bottom style="medium">
        <x:color rgb="FF1F2937"/>
      </x:bottom>
    </x:border>
    <x:border>
      <x:right style="thin">
        <x:color rgb="FFB8BEC7"/>
      </x:right>
      <x:top style="thin">
        <x:color rgb="FFB8BEC7"/>
      </x:top>
      <x:bottom style="medium">
        <x:color rgb="FF1F2937"/>
      </x:bottom>
    </x:border>
    <x:border>
      <x:left style="hair">
        <x:color rgb="FFB8BEC7"/>
      </x:left>
    </x:border>
    <x:border>
      <x:right style="hair">
        <x:color rgb="FFB8BEC7"/>
      </x:right>
    </x:border>
    <x:border>
      <x:left style="hair">
        <x:color rgb="FFB8BEC7"/>
      </x:left>
      <x:bottom style="hair">
        <x:color rgb="FFB8BEC7"/>
      </x:bottom>
    </x:border>
    <x:border>
      <x:bottom style="hair">
        <x:color rgb="FFB8BEC7"/>
      </x:bottom>
    </x:border>
    <x:border>
      <x:right style="hair">
        <x:color rgb="FFB8BEC7"/>
      </x:right>
      <x:bottom style="hair">
        <x:color rgb="FFB8BEC7"/>
      </x:bottom>
    </x:border>
    <x:border>
      <x:bottom style="thin">
        <x:color rgb="FFB8BEC7"/>
      </x:bottom>
    </x:border>
  </x:borders>
  <x:cellStyleXfs count="1">
    <x:xf numFmtId="0" fontId="0" fillId="0" borderId="0"/>
  </x:cellStyleXfs>
  <x:cellXfs count="107">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horizontal="left"/>
    </x:xf>
    <x:xf numFmtId="0" fontId="1" fillId="0" borderId="1"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left" wrapText="1"/>
    </x:xf>
    <x:xf numFmtId="0" fontId="2" fillId="0" borderId="0" xfId="0" applyNumberFormat="1" applyFont="1" applyFill="1" applyBorder="1" applyAlignment="1">
      <x:alignment horizontal="lef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2" xfId="0" applyNumberFormat="1" applyFont="1" applyFill="1" applyBorder="1" applyAlignment="1">
      <x:alignment horizontal="center" wrapText="1"/>
    </x:xf>
    <x:xf numFmtId="0" fontId="3" fillId="0" borderId="3" xfId="0" applyNumberFormat="1" applyFont="1" applyFill="1" applyBorder="1" applyAlignment="1">
      <x:alignment horizontal="center" wrapText="1"/>
    </x:xf>
    <x:xf numFmtId="0" fontId="3" fillId="0" borderId="4" xfId="0" applyNumberFormat="1" applyFont="1" applyFill="1" applyBorder="1" applyAlignment="1">
      <x:alignment horizontal="center" wrapText="1"/>
    </x:xf>
    <x:xf numFmtId="0" fontId="3" fillId="0" borderId="2" xfId="0" applyNumberFormat="1" applyFont="1" applyFill="1" applyBorder="1" applyAlignment="1">
      <x:alignment horizontal="center" vertical="center" wrapText="1"/>
    </x:xf>
    <x:xf numFmtId="0" fontId="3" fillId="0" borderId="3" xfId="0" applyNumberFormat="1" applyFont="1" applyFill="1" applyBorder="1" applyAlignment="1">
      <x:alignment horizontal="center" vertical="center" wrapText="1"/>
    </x:xf>
    <x:xf numFmtId="0" fontId="3" fillId="0" borderId="4" xfId="0" applyNumberFormat="1" applyFont="1" applyFill="1" applyBorder="1" applyAlignment="1">
      <x:alignment horizontal="center" vertical="center" wrapText="1"/>
    </x:xf>
    <x:xf numFmtId="0" fontId="4" fillId="0" borderId="0"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5"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5"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5" fillId="0" borderId="0"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5"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5"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6" xfId="0" applyNumberFormat="1" applyFont="1" applyFill="1" applyBorder="1" applyAlignment="1">
      <x:alignment vertical="center" wrapText="1"/>
    </x:xf>
    <x:xf numFmtId="0" fontId="5" fillId="0" borderId="7" xfId="0" applyNumberFormat="1" applyFont="1" applyFill="1" applyBorder="1" applyAlignment="1">
      <x:alignment vertical="center" wrapText="1"/>
    </x:xf>
    <x:xf numFmtId="0" fontId="5" fillId="0" borderId="8" xfId="0" applyNumberFormat="1" applyFont="1" applyFill="1" applyBorder="1" applyAlignment="1">
      <x:alignment vertical="center" wrapText="1"/>
    </x:xf>
    <x:xf numFmtId="0" fontId="5" fillId="0" borderId="9"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1" fillId="0" borderId="8" xfId="0" applyNumberFormat="1" applyFont="1" applyFill="1" applyBorder="1" applyAlignment="1">
      <x:alignment horizontal="center" vertical="center" wrapText="1"/>
    </x:xf>
    <x:xf numFmtId="0" fontId="1" fillId="0" borderId="6"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0" borderId="6" xfId="0" applyNumberFormat="1" applyFont="1" applyFill="1" applyBorder="1" applyAlignment="1">
      <x:alignment horizontal="center" vertical="center" wrapText="1"/>
    </x:xf>
    <x:xf numFmtId="0" fontId="1" fillId="0" borderId="9" xfId="0" applyNumberFormat="1" applyFont="1" applyFill="1" applyBorder="1" applyAlignment="1">
      <x:alignment horizontal="center" vertical="center" wrapText="1"/>
    </x:xf>
    <x:xf numFmtId="200" fontId="4" fillId="0" borderId="0" xfId="0" applyNumberFormat="1" applyFont="1" applyFill="1" applyBorder="1" applyAlignment="1">
      <x:alignment vertical="top" wrapText="1"/>
    </x:xf>
    <x:xf numFmtId="200" fontId="4" fillId="0" borderId="8"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0" fontId="6" fillId="0" borderId="0"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5"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5"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7" fillId="0" borderId="0" xfId="0" applyNumberFormat="1" applyFont="1" applyFill="1" applyBorder="1"/>
    <x:xf numFmtId="0" fontId="7" fillId="0" borderId="1" xfId="0" applyNumberFormat="1" applyFont="1" applyFill="1" applyBorder="1"/>
    <x:xf numFmtId="0" fontId="7" fillId="0" borderId="1" xfId="0" applyNumberFormat="1" applyFont="1" applyFill="1" applyBorder="1" applyAlignment="1">
      <x:alignment vertical="center"/>
    </x:xf>
    <x:xf numFmtId="0" fontId="6" fillId="0" borderId="10" xfId="0" applyNumberFormat="1" applyFont="1" applyFill="1" applyBorder="1"/>
    <x:xf numFmtId="0" fontId="6" fillId="0" borderId="1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0" borderId="1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b3233eb8054507" /><Relationship Type="http://schemas.openxmlformats.org/officeDocument/2006/relationships/theme" Target="/xl/theme/theme1.xml" Id="Rf80092ec6a884ccc" /><Relationship Type="http://schemas.openxmlformats.org/officeDocument/2006/relationships/sharedStrings" Target="/xl/sharedStrings.xml" Id="R0c0c3fe7722b4478" /><Relationship Type="http://schemas.openxmlformats.org/officeDocument/2006/relationships/worksheet" Target="/xl/worksheets/sheet1.xml" Id="R9fc776dfe5d946cf" /><Relationship Type="http://schemas.openxmlformats.org/officeDocument/2006/relationships/worksheet" Target="/xl/worksheets/sheet2.xml" Id="R5917d523b7b04b12" /><Relationship Type="http://schemas.openxmlformats.org/officeDocument/2006/relationships/worksheet" Target="/xl/worksheets/sheet3.xml" Id="R913a97e1aec94325" /><Relationship Type="http://schemas.openxmlformats.org/officeDocument/2006/relationships/worksheet" Target="/xl/worksheets/sheet4.xml" Id="Rb4173cf82d724d7b" /><Relationship Type="http://schemas.openxmlformats.org/officeDocument/2006/relationships/worksheet" Target="/xl/worksheets/sheet5.xml" Id="Rd292889af4504d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13" hidden="0" customWidth="1"/>
    <x:col min="2" max="2" width="10" hidden="0" customWidth="1"/>
    <x:col min="3" max="3" width="18" hidden="0" customWidth="1"/>
    <x:col min="4" max="4" width="26" hidden="0" customWidth="1"/>
    <x:col min="5" max="5" width="36" hidden="0" customWidth="1"/>
    <x:col min="6" max="6" width="52" hidden="0" customWidth="1"/>
    <x:col min="7" max="7" width="28" hidden="0" customWidth="1"/>
    <x:col min="8" max="8" width="13" hidden="0" customWidth="1"/>
    <x:col min="9" max="9" width="28" hidden="0" customWidth="1"/>
    <x:col min="10" max="10" width="10" hidden="0" customWidth="1"/>
    <x:col min="11" max="11" width="30" hidden="0" customWidth="1"/>
    <x:col min="12" max="12" width="24" hidden="0" customWidth="1"/>
    <x:col min="13" max="13" width="30" hidden="0" customWidth="1"/>
    <x:col min="14" max="14" width="17" hidden="0" customWidth="1"/>
    <x:col min="15" max="15" width="22" hidden="0" customWidth="1"/>
    <x:col min="16" max="16" width="36" hidden="0" customWidth="1"/>
    <x:col min="17" max="17" width="12" hidden="0" customWidth="1"/>
    <x:col min="18" max="18" width="58" hidden="0" customWidth="1"/>
    <x:col min="19" max="19" width="10" hidden="0" customWidth="1"/>
    <x:col min="20" max="20" width="10" hidden="0" customWidth="1"/>
  </x:cols>
  <x:sheetData>
    <x:row r="1" ht="34" customHeight="1">
      <x:c r="A1" s="4" t="str">
        <x:v>高处作业结构化规则数据库</x:v>
      </x:c>
      <x:c r="B1" s="4"/>
      <x:c r="C1" s="4"/>
      <x:c r="D1" s="4"/>
      <x:c r="E1" s="4"/>
      <x:c r="F1" s="4"/>
      <x:c r="G1" s="4"/>
      <x:c r="H1" s="4"/>
      <x:c r="I1" s="4"/>
      <x:c r="J1" s="4"/>
      <x:c r="K1" s="4"/>
      <x:c r="L1" s="4"/>
      <x:c r="M1" s="4"/>
      <x:c r="N1" s="4"/>
      <x:c r="O1" s="4"/>
      <x:c r="P1" s="4"/>
      <x:c r="Q1" s="4"/>
      <x:c r="R1" s="4"/>
      <x:c r="S1" s="4"/>
      <x:c r="T1" s="4"/>
    </x:row>
    <x:row r="2" ht="30" customHeight="1">
      <x:c r="A2" s="8" t="str">
        <x:v>版本日期：2026-08-19｜共 301 条原子规则｜保持20个核心字段；判断时仍须核对正式出版文本及最新有效标准。</x:v>
      </x:c>
      <x:c r="B2" s="8"/>
      <x:c r="C2" s="8"/>
      <x:c r="D2" s="8"/>
      <x:c r="E2" s="8"/>
      <x:c r="F2" s="8"/>
      <x:c r="G2" s="8"/>
      <x:c r="H2" s="8"/>
      <x:c r="I2" s="8"/>
      <x:c r="J2" s="8"/>
      <x:c r="K2" s="8"/>
      <x:c r="L2" s="8"/>
      <x:c r="M2" s="8"/>
      <x:c r="N2" s="8"/>
      <x:c r="O2" s="8"/>
      <x:c r="P2" s="8"/>
      <x:c r="Q2" s="8"/>
      <x:c r="R2" s="8"/>
      <x:c r="S2" s="8"/>
      <x:c r="T2" s="8"/>
    </x:row>
    <x:row r="4" ht="30" customHeight="1">
      <x:c r="A4" s="19" t="str">
        <x:v>规则编号</x:v>
      </x:c>
      <x:c r="B4" s="20" t="str">
        <x:v>启用状态</x:v>
      </x:c>
      <x:c r="C4" s="20" t="str">
        <x:v>场景</x:v>
      </x:c>
      <x:c r="D4" s="20" t="str">
        <x:v>适用工序</x:v>
      </x:c>
      <x:c r="E4" s="20" t="str">
        <x:v>触发条件</x:v>
      </x:c>
      <x:c r="F4" s="20" t="str">
        <x:v>具体要求</x:v>
      </x:c>
      <x:c r="G4" s="20" t="str">
        <x:v>数值或阈值</x:v>
      </x:c>
      <x:c r="H4" s="20" t="str">
        <x:v>规则效力</x:v>
      </x:c>
      <x:c r="I4" s="20" t="str">
        <x:v>危险源</x:v>
      </x:c>
      <x:c r="J4" s="20" t="str">
        <x:v>风险等级</x:v>
      </x:c>
      <x:c r="K4" s="20" t="str">
        <x:v>适用岗位</x:v>
      </x:c>
      <x:c r="L4" s="20" t="str">
        <x:v>检查方式</x:v>
      </x:c>
      <x:c r="M4" s="20" t="str">
        <x:v>规范名称</x:v>
      </x:c>
      <x:c r="N4" s="20" t="str">
        <x:v>标准编号</x:v>
      </x:c>
      <x:c r="O4" s="20" t="str">
        <x:v>标准层级</x:v>
      </x:c>
      <x:c r="P4" s="20" t="str">
        <x:v>标准状态</x:v>
      </x:c>
      <x:c r="Q4" s="20" t="str">
        <x:v>条款编号</x:v>
      </x:c>
      <x:c r="R4" s="20" t="str">
        <x:v>原文</x:v>
      </x:c>
      <x:c r="S4" s="20" t="str">
        <x:v>PDF页码</x:v>
      </x:c>
      <x:c r="T4" s="21" t="str">
        <x:v>正文页码</x:v>
      </x:c>
    </x:row>
    <x:row r="5" ht="56" customHeight="1">
      <x:c r="A5" s="40" t="str">
        <x:v>GZ-001</x:v>
      </x:c>
      <x:c r="B5" s="41" t="str">
        <x:v>启用</x:v>
      </x:c>
      <x:c r="C5" s="35" t="str">
        <x:v>高处作业综合管理</x:v>
      </x:c>
      <x:c r="D5" s="35" t="str">
        <x:v>作业准备与过程管理</x:v>
      </x:c>
      <x:c r="E5" s="35" t="str">
        <x:v>准备或实施高处作业时</x:v>
      </x:c>
      <x:c r="F5" s="35" t="str">
        <x:v>建筑施工中凡涉及临边与洞口作业、攀登与悬空作业、操作平台、交叉作业及安全网搭设的，应在施工组织设计或施工方案中制定高处作业安全技术措施</x:v>
      </x:c>
      <x:c r="G5" s="35" t="str">
        <x:v>无明确数值；按文本要求判断</x:v>
      </x:c>
      <x:c r="H5" s="41" t="str">
        <x:v>应执行</x:v>
      </x:c>
      <x:c r="I5" s="35" t="str">
        <x:v>高处坠落；物体打击</x:v>
      </x:c>
      <x:c r="J5" s="41" t="str">
        <x:v>较大</x:v>
      </x:c>
      <x:c r="K5" s="35" t="str">
        <x:v>技术负责人；方案编制人员；项目负责人；安全员</x:v>
      </x:c>
      <x:c r="L5" s="35" t="str">
        <x:v>文件核验</x:v>
      </x:c>
      <x:c r="M5" s="35" t="str">
        <x:v>建筑施工高处作业安全技术规范</x:v>
      </x:c>
      <x:c r="N5" s="35" t="str">
        <x:v>JGJ 80-2016</x:v>
      </x:c>
      <x:c r="O5" s="35" t="str">
        <x:v>行业标准</x:v>
      </x:c>
      <x:c r="P5" s="35" t="str">
        <x:v>现行版本（提交前建议再核验官方状态）</x:v>
      </x:c>
      <x:c r="Q5" s="35" t="str">
        <x:v>3.0.1</x:v>
      </x:c>
      <x:c r="R5" s="35" t="str">
        <x:v>3.0.1建筑施工中凡涉及临边与洞口作业、攀登与悬空作业、操作平台、交叉作业及安全网搭设的，应在施工组织设计或施工方案中制定高处作业安全技术措施</x:v>
      </x:c>
      <x:c r="S5" s="41" t="n">
        <x:v>11</x:v>
      </x:c>
      <x:c r="T5" s="44" t="n">
        <x:v>5</x:v>
      </x:c>
    </x:row>
    <x:row r="6" ht="56" customHeight="1">
      <x:c r="A6" s="40" t="str">
        <x:v>GZ-002</x:v>
      </x:c>
      <x:c r="B6" s="41" t="str">
        <x:v>启用</x:v>
      </x:c>
      <x:c r="C6" s="35" t="str">
        <x:v>高处作业综合管理</x:v>
      </x:c>
      <x:c r="D6" s="35" t="str">
        <x:v>作业准备与过程管理</x:v>
      </x:c>
      <x:c r="E6" s="35" t="str">
        <x:v>准备或实施高处作业时</x:v>
      </x:c>
      <x:c r="F6" s="35" t="str">
        <x:v>高处作业施工前，应按类别对安全防护设施进行检查、验收，验收合格后方可进行作业，并应做验收记录</x:v>
      </x:c>
      <x:c r="G6" s="35" t="str">
        <x:v>无明确数值；按文本要求判断</x:v>
      </x:c>
      <x:c r="H6" s="41" t="str">
        <x:v>应执行</x:v>
      </x:c>
      <x:c r="I6" s="35" t="str">
        <x:v>高处坠落；物体打击</x:v>
      </x:c>
      <x:c r="J6" s="41" t="str">
        <x:v>较大</x:v>
      </x:c>
      <x:c r="K6" s="35" t="str">
        <x:v>安全员；施工员；监理人员；班组长</x:v>
      </x:c>
      <x:c r="L6" s="35" t="str">
        <x:v>文件核验</x:v>
      </x:c>
      <x:c r="M6" s="35" t="str">
        <x:v>建筑施工高处作业安全技术规范</x:v>
      </x:c>
      <x:c r="N6" s="35" t="str">
        <x:v>JGJ 80-2016</x:v>
      </x:c>
      <x:c r="O6" s="35" t="str">
        <x:v>行业标准</x:v>
      </x:c>
      <x:c r="P6" s="35" t="str">
        <x:v>现行版本（提交前建议再核验官方状态）</x:v>
      </x:c>
      <x:c r="Q6" s="35" t="str">
        <x:v>3.0.2</x:v>
      </x:c>
      <x:c r="R6" s="35" t="str">
        <x:v>3.0.2高处作业施工前，应按类别对安全防护设施进行检查、验收，验收合格后方可进行作业，并应做验收记录。验收可分层或分阶段进行</x:v>
      </x:c>
      <x:c r="S6" s="41" t="n">
        <x:v>11</x:v>
      </x:c>
      <x:c r="T6" s="44" t="n">
        <x:v>5</x:v>
      </x:c>
    </x:row>
    <x:row r="7" ht="56" customHeight="1">
      <x:c r="A7" s="40" t="str">
        <x:v>GZ-003</x:v>
      </x:c>
      <x:c r="B7" s="41" t="str">
        <x:v>启用</x:v>
      </x:c>
      <x:c r="C7" s="35" t="str">
        <x:v>高处作业综合管理</x:v>
      </x:c>
      <x:c r="D7" s="35" t="str">
        <x:v>作业准备与过程管理</x:v>
      </x:c>
      <x:c r="E7" s="35" t="str">
        <x:v>准备或实施高处作业时</x:v>
      </x:c>
      <x:c r="F7" s="35" t="str">
        <x:v>验收可分层或分阶段进行</x:v>
      </x:c>
      <x:c r="G7" s="35" t="str">
        <x:v>无明确数值；按文本要求判断</x:v>
      </x:c>
      <x:c r="H7" s="41" t="str">
        <x:v>推荐/允许</x:v>
      </x:c>
      <x:c r="I7" s="35" t="str">
        <x:v>高处坠落；物体打击</x:v>
      </x:c>
      <x:c r="J7" s="41" t="str">
        <x:v>较大</x:v>
      </x:c>
      <x:c r="K7" s="35" t="str">
        <x:v>安全员；施工员；监理人员；班组长</x:v>
      </x:c>
      <x:c r="L7" s="35" t="str">
        <x:v>现场检查+人工确认</x:v>
      </x:c>
      <x:c r="M7" s="35" t="str">
        <x:v>建筑施工高处作业安全技术规范</x:v>
      </x:c>
      <x:c r="N7" s="35" t="str">
        <x:v>JGJ 80-2016</x:v>
      </x:c>
      <x:c r="O7" s="35" t="str">
        <x:v>行业标准</x:v>
      </x:c>
      <x:c r="P7" s="35" t="str">
        <x:v>现行版本（提交前建议再核验官方状态）</x:v>
      </x:c>
      <x:c r="Q7" s="35" t="str">
        <x:v>3.0.2</x:v>
      </x:c>
      <x:c r="R7" s="35" t="str">
        <x:v>3.0.2高处作业施工前，应按类别对安全防护设施进行检查、验收，验收合格后方可进行作业，并应做验收记录。验收可分层或分阶段进行</x:v>
      </x:c>
      <x:c r="S7" s="41" t="n">
        <x:v>11</x:v>
      </x:c>
      <x:c r="T7" s="44" t="n">
        <x:v>5</x:v>
      </x:c>
    </x:row>
    <x:row r="8" ht="56" customHeight="1">
      <x:c r="A8" s="40" t="str">
        <x:v>GZ-004</x:v>
      </x:c>
      <x:c r="B8" s="41" t="str">
        <x:v>启用</x:v>
      </x:c>
      <x:c r="C8" s="35" t="str">
        <x:v>高处作业综合管理</x:v>
      </x:c>
      <x:c r="D8" s="35" t="str">
        <x:v>作业准备与过程管理</x:v>
      </x:c>
      <x:c r="E8" s="35" t="str">
        <x:v>准备或实施高处作业时</x:v>
      </x:c>
      <x:c r="F8" s="35" t="str">
        <x:v>高处作业施工前，应对作业人员进行安全技术交底，并应记录</x:v>
      </x:c>
      <x:c r="G8" s="35" t="str">
        <x:v>无明确数值；按文本要求判断</x:v>
      </x:c>
      <x:c r="H8" s="41" t="str">
        <x:v>应执行</x:v>
      </x:c>
      <x:c r="I8" s="35" t="str">
        <x:v>高处坠落；物体打击</x:v>
      </x:c>
      <x:c r="J8" s="41" t="str">
        <x:v>较大</x:v>
      </x:c>
      <x:c r="K8" s="35" t="str">
        <x:v>安全员；施工员；监理人员；班组长</x:v>
      </x:c>
      <x:c r="L8" s="35" t="str">
        <x:v>文件核验</x:v>
      </x:c>
      <x:c r="M8" s="35" t="str">
        <x:v>建筑施工高处作业安全技术规范</x:v>
      </x:c>
      <x:c r="N8" s="35" t="str">
        <x:v>JGJ 80-2016</x:v>
      </x:c>
      <x:c r="O8" s="35" t="str">
        <x:v>行业标准</x:v>
      </x:c>
      <x:c r="P8" s="35" t="str">
        <x:v>现行版本（提交前建议再核验官方状态）</x:v>
      </x:c>
      <x:c r="Q8" s="35" t="str">
        <x:v>3.0.3</x:v>
      </x:c>
      <x:c r="R8" s="35" t="str">
        <x:v>3.0.3高处作业施工前，应对作业人员进行安全技术交底，并应记录。应对初次作业人员进行培训</x:v>
      </x:c>
      <x:c r="S8" s="41" t="n">
        <x:v>11</x:v>
      </x:c>
      <x:c r="T8" s="44" t="n">
        <x:v>5</x:v>
      </x:c>
    </x:row>
    <x:row r="9" ht="56" customHeight="1">
      <x:c r="A9" s="40" t="str">
        <x:v>GZ-005</x:v>
      </x:c>
      <x:c r="B9" s="41" t="str">
        <x:v>启用</x:v>
      </x:c>
      <x:c r="C9" s="35" t="str">
        <x:v>高处作业综合管理</x:v>
      </x:c>
      <x:c r="D9" s="35" t="str">
        <x:v>作业准备与过程管理</x:v>
      </x:c>
      <x:c r="E9" s="35" t="str">
        <x:v>准备或实施高处作业时</x:v>
      </x:c>
      <x:c r="F9" s="35" t="str">
        <x:v>应对初次作业人员进行培训</x:v>
      </x:c>
      <x:c r="G9" s="35" t="str">
        <x:v>无明确数值；按文本要求判断</x:v>
      </x:c>
      <x:c r="H9" s="41" t="str">
        <x:v>应执行</x:v>
      </x:c>
      <x:c r="I9" s="35" t="str">
        <x:v>高处坠落；物体打击</x:v>
      </x:c>
      <x:c r="J9" s="41" t="str">
        <x:v>较大</x:v>
      </x:c>
      <x:c r="K9" s="35" t="str">
        <x:v>高处作业人员；安全员；施工员；班组长</x:v>
      </x:c>
      <x:c r="L9" s="35" t="str">
        <x:v>现场检查+人工确认</x:v>
      </x:c>
      <x:c r="M9" s="35" t="str">
        <x:v>建筑施工高处作业安全技术规范</x:v>
      </x:c>
      <x:c r="N9" s="35" t="str">
        <x:v>JGJ 80-2016</x:v>
      </x:c>
      <x:c r="O9" s="35" t="str">
        <x:v>行业标准</x:v>
      </x:c>
      <x:c r="P9" s="35" t="str">
        <x:v>现行版本（提交前建议再核验官方状态）</x:v>
      </x:c>
      <x:c r="Q9" s="35" t="str">
        <x:v>3.0.3</x:v>
      </x:c>
      <x:c r="R9" s="35" t="str">
        <x:v>3.0.3高处作业施工前，应对作业人员进行安全技术交底，并应记录。应对初次作业人员进行培训</x:v>
      </x:c>
      <x:c r="S9" s="41" t="n">
        <x:v>11</x:v>
      </x:c>
      <x:c r="T9" s="44" t="n">
        <x:v>5</x:v>
      </x:c>
    </x:row>
    <x:row r="10" ht="56" customHeight="1">
      <x:c r="A10" s="40" t="str">
        <x:v>GZ-006</x:v>
      </x:c>
      <x:c r="B10" s="41" t="str">
        <x:v>启用</x:v>
      </x:c>
      <x:c r="C10" s="35" t="str">
        <x:v>高处作业综合管理</x:v>
      </x:c>
      <x:c r="D10" s="35" t="str">
        <x:v>作业准备与过程管理</x:v>
      </x:c>
      <x:c r="E10" s="35" t="str">
        <x:v>准备或实施高处作业时</x:v>
      </x:c>
      <x:c r="F10" s="35" t="str">
        <x:v>应根据要求将各类安全警示标志悬挂于施工现场各相应部位，夜间应设红灯警示</x:v>
      </x:c>
      <x:c r="G10" s="35" t="str">
        <x:v>无明确数值；按文本要求判断</x:v>
      </x:c>
      <x:c r="H10" s="41" t="str">
        <x:v>应执行</x:v>
      </x:c>
      <x:c r="I10" s="35" t="str">
        <x:v>高处坠落；物体打击</x:v>
      </x:c>
      <x:c r="J10" s="41" t="str">
        <x:v>较大</x:v>
      </x:c>
      <x:c r="K10" s="35" t="str">
        <x:v>高处作业人员；安全员；施工员；班组长</x:v>
      </x:c>
      <x:c r="L10" s="35" t="str">
        <x:v>现场检查+人工确认</x:v>
      </x:c>
      <x:c r="M10" s="35" t="str">
        <x:v>建筑施工高处作业安全技术规范</x:v>
      </x:c>
      <x:c r="N10" s="35" t="str">
        <x:v>JGJ 80-2016</x:v>
      </x:c>
      <x:c r="O10" s="35" t="str">
        <x:v>行业标准</x:v>
      </x:c>
      <x:c r="P10" s="35" t="str">
        <x:v>现行版本（提交前建议再核验官方状态）</x:v>
      </x:c>
      <x:c r="Q10" s="35" t="str">
        <x:v>3.0.4</x:v>
      </x:c>
      <x:c r="R10" s="35" t="str">
        <x:v>3.0.4应根据要求将各类安全警示标志悬挂于施工现场各相应部位，夜间应设红灯警示。高处作业施工前，应检查高处作业的安全标志、工具、仪表、电气设施和设备，确认其完好后，方可进行施工</x:v>
      </x:c>
      <x:c r="S10" s="41" t="n">
        <x:v>11</x:v>
      </x:c>
      <x:c r="T10" s="44" t="n">
        <x:v>5</x:v>
      </x:c>
    </x:row>
    <x:row r="11" ht="56" customHeight="1">
      <x:c r="A11" s="40" t="str">
        <x:v>GZ-007</x:v>
      </x:c>
      <x:c r="B11" s="41" t="str">
        <x:v>启用</x:v>
      </x:c>
      <x:c r="C11" s="35" t="str">
        <x:v>高处作业综合管理</x:v>
      </x:c>
      <x:c r="D11" s="35" t="str">
        <x:v>作业准备与过程管理</x:v>
      </x:c>
      <x:c r="E11" s="35" t="str">
        <x:v>准备或实施高处作业时</x:v>
      </x:c>
      <x:c r="F11" s="35" t="str">
        <x:v>高处作业施工前，应检查高处作业的安全标志、工具、仪表、电气设施和设备，确认其完好后，方可进行施工</x:v>
      </x:c>
      <x:c r="G11" s="35" t="str">
        <x:v>无明确数值；按文本要求判断</x:v>
      </x:c>
      <x:c r="H11" s="41" t="str">
        <x:v>应执行</x:v>
      </x:c>
      <x:c r="I11" s="35" t="str">
        <x:v>触电；高处坠落</x:v>
      </x:c>
      <x:c r="J11" s="41" t="str">
        <x:v>较大</x:v>
      </x:c>
      <x:c r="K11" s="35" t="str">
        <x:v>安全员；施工员；监理人员；班组长</x:v>
      </x:c>
      <x:c r="L11" s="35" t="str">
        <x:v>现场检查+人工确认</x:v>
      </x:c>
      <x:c r="M11" s="35" t="str">
        <x:v>建筑施工高处作业安全技术规范</x:v>
      </x:c>
      <x:c r="N11" s="35" t="str">
        <x:v>JGJ 80-2016</x:v>
      </x:c>
      <x:c r="O11" s="35" t="str">
        <x:v>行业标准</x:v>
      </x:c>
      <x:c r="P11" s="35" t="str">
        <x:v>现行版本（提交前建议再核验官方状态）</x:v>
      </x:c>
      <x:c r="Q11" s="35" t="str">
        <x:v>3.0.4</x:v>
      </x:c>
      <x:c r="R11" s="35" t="str">
        <x:v>3.0.4应根据要求将各类安全警示标志悬挂于施工现场各相应部位，夜间应设红灯警示。高处作业施工前，应检查高处作业的安全标志、工具、仪表、电气设施和设备，确认其完好后，方可进行施工</x:v>
      </x:c>
      <x:c r="S11" s="41" t="n">
        <x:v>11</x:v>
      </x:c>
      <x:c r="T11" s="44" t="n">
        <x:v>5</x:v>
      </x:c>
    </x:row>
    <x:row r="12" ht="56" customHeight="1">
      <x:c r="A12" s="40" t="str">
        <x:v>GZ-008</x:v>
      </x:c>
      <x:c r="B12" s="41" t="str">
        <x:v>启用</x:v>
      </x:c>
      <x:c r="C12" s="35" t="str">
        <x:v>高处作业综合管理</x:v>
      </x:c>
      <x:c r="D12" s="35" t="str">
        <x:v>作业准备与过程管理</x:v>
      </x:c>
      <x:c r="E12" s="35" t="str">
        <x:v>准备或实施高处作业时</x:v>
      </x:c>
      <x:c r="F12" s="35" t="str">
        <x:v>高处作业人员应根据作业的实际情况配备相应的高处作业安全防护用品，并应按规定正确佩戴和使用相应的安全防护用品、用具</x:v>
      </x:c>
      <x:c r="G12" s="35" t="str">
        <x:v>无明确数值；按文本要求判断</x:v>
      </x:c>
      <x:c r="H12" s="41" t="str">
        <x:v>应执行</x:v>
      </x:c>
      <x:c r="I12" s="35" t="str">
        <x:v>高处坠落；物体打击</x:v>
      </x:c>
      <x:c r="J12" s="41" t="str">
        <x:v>较大</x:v>
      </x:c>
      <x:c r="K12" s="35" t="str">
        <x:v>高处作业人员；安全员；施工员；班组长</x:v>
      </x:c>
      <x:c r="L12" s="35" t="str">
        <x:v>现场目视或影像检查</x:v>
      </x:c>
      <x:c r="M12" s="35" t="str">
        <x:v>建筑施工高处作业安全技术规范</x:v>
      </x:c>
      <x:c r="N12" s="35" t="str">
        <x:v>JGJ 80-2016</x:v>
      </x:c>
      <x:c r="O12" s="35" t="str">
        <x:v>行业标准</x:v>
      </x:c>
      <x:c r="P12" s="35" t="str">
        <x:v>现行版本（提交前建议再核验官方状态）</x:v>
      </x:c>
      <x:c r="Q12" s="35" t="str">
        <x:v>3.0.5</x:v>
      </x:c>
      <x:c r="R12" s="35" t="str">
        <x:v>3.0.5，高处作业人员应根据作业的实际情况配备相应的高处作业安全防护用品，并应按规定正确佩戴和使用相应的安全防护用品、用具</x:v>
      </x:c>
      <x:c r="S12" s="41" t="n">
        <x:v>11</x:v>
      </x:c>
      <x:c r="T12" s="44" t="n">
        <x:v>5</x:v>
      </x:c>
    </x:row>
    <x:row r="13" ht="56" customHeight="1">
      <x:c r="A13" s="40" t="str">
        <x:v>GZ-009</x:v>
      </x:c>
      <x:c r="B13" s="41" t="str">
        <x:v>启用</x:v>
      </x:c>
      <x:c r="C13" s="35" t="str">
        <x:v>高处作业综合管理</x:v>
      </x:c>
      <x:c r="D13" s="35" t="str">
        <x:v>作业准备与过程管理</x:v>
      </x:c>
      <x:c r="E13" s="35" t="str">
        <x:v>对施工作业现场可能坠落的物料</x:v>
      </x:c>
      <x:c r="F13" s="35" t="str">
        <x:v>对施工作业现场可能坠落的物料，应及时拆除或采取固定措施</x:v>
      </x:c>
      <x:c r="G13" s="35" t="str">
        <x:v>无明确数值；按文本要求判断</x:v>
      </x:c>
      <x:c r="H13" s="41" t="str">
        <x:v>应执行</x:v>
      </x:c>
      <x:c r="I13" s="35" t="str">
        <x:v>高处坠落；物体打击</x:v>
      </x:c>
      <x:c r="J13" s="41" t="str">
        <x:v>较大</x:v>
      </x:c>
      <x:c r="K13" s="35" t="str">
        <x:v>高处作业人员；安全员；施工员；班组长</x:v>
      </x:c>
      <x:c r="L13" s="35" t="str">
        <x:v>现场检查+人工确认</x:v>
      </x:c>
      <x:c r="M13" s="35" t="str">
        <x:v>建筑施工高处作业安全技术规范</x:v>
      </x:c>
      <x:c r="N13" s="35" t="str">
        <x:v>JGJ 80-2016</x:v>
      </x:c>
      <x:c r="O13" s="35" t="str">
        <x:v>行业标准</x:v>
      </x:c>
      <x:c r="P13" s="35" t="str">
        <x:v>现行版本（提交前建议再核验官方状态）</x:v>
      </x:c>
      <x:c r="Q13" s="35" t="str">
        <x:v>3.0.6</x:v>
      </x:c>
      <x:c r="R13" s="35" t="str">
        <x:v>3.0.6对施工作业现场可能坠落的物料，应及时拆除或采取固定措施。高处作业所用的物料应堆放平稳，不得妨碍通行和装卸。工具应随手放入工具袋；作业中的走道、通道板和登高用具，应随时清理干净；拆卸下的物料及余料和废料应及时清理运走，不得随意放置或向下丢弃。传递物料时不得抛掷</x:v>
      </x:c>
      <x:c r="S13" s="41" t="n">
        <x:v>11</x:v>
      </x:c>
      <x:c r="T13" s="44" t="n">
        <x:v>5</x:v>
      </x:c>
    </x:row>
    <x:row r="14" ht="56" customHeight="1">
      <x:c r="A14" s="40" t="str">
        <x:v>GZ-010</x:v>
      </x:c>
      <x:c r="B14" s="41" t="str">
        <x:v>启用</x:v>
      </x:c>
      <x:c r="C14" s="35" t="str">
        <x:v>高处作业综合管理</x:v>
      </x:c>
      <x:c r="D14" s="35" t="str">
        <x:v>作业准备与过程管理</x:v>
      </x:c>
      <x:c r="E14" s="35" t="str">
        <x:v>准备或实施高处作业时</x:v>
      </x:c>
      <x:c r="F14" s="35" t="str">
        <x:v>高处作业所用的物料应堆放平稳，不得妨碍通行和装卸</x:v>
      </x:c>
      <x:c r="G14" s="35" t="str">
        <x:v>无明确数值；按文本要求判断</x:v>
      </x:c>
      <x:c r="H14" s="41" t="str">
        <x:v>禁止/不得</x:v>
      </x:c>
      <x:c r="I14" s="35" t="str">
        <x:v>高处坠落；物体打击</x:v>
      </x:c>
      <x:c r="J14" s="41" t="str">
        <x:v>重大</x:v>
      </x:c>
      <x:c r="K14" s="35" t="str">
        <x:v>高处作业人员；安全员；施工员；班组长</x:v>
      </x:c>
      <x:c r="L14" s="35" t="str">
        <x:v>现场目视或影像检查</x:v>
      </x:c>
      <x:c r="M14" s="35" t="str">
        <x:v>建筑施工高处作业安全技术规范</x:v>
      </x:c>
      <x:c r="N14" s="35" t="str">
        <x:v>JGJ 80-2016</x:v>
      </x:c>
      <x:c r="O14" s="35" t="str">
        <x:v>行业标准</x:v>
      </x:c>
      <x:c r="P14" s="35" t="str">
        <x:v>现行版本（提交前建议再核验官方状态）</x:v>
      </x:c>
      <x:c r="Q14" s="35" t="str">
        <x:v>3.0.6</x:v>
      </x:c>
      <x:c r="R14" s="35" t="str">
        <x:v>3.0.6对施工作业现场可能坠落的物料，应及时拆除或采取固定措施。高处作业所用的物料应堆放平稳，不得妨碍通行和装卸。工具应随手放入工具袋；作业中的走道、通道板和登高用具，应随时清理干净；拆卸下的物料及余料和废料应及时清理运走，不得随意放置或向下丢弃。传递物料时不得抛掷</x:v>
      </x:c>
      <x:c r="S14" s="41" t="n">
        <x:v>11</x:v>
      </x:c>
      <x:c r="T14" s="44" t="n">
        <x:v>5</x:v>
      </x:c>
    </x:row>
    <x:row r="15" ht="56" customHeight="1">
      <x:c r="A15" s="40" t="str">
        <x:v>GZ-011</x:v>
      </x:c>
      <x:c r="B15" s="41" t="str">
        <x:v>启用</x:v>
      </x:c>
      <x:c r="C15" s="35" t="str">
        <x:v>高处作业综合管理</x:v>
      </x:c>
      <x:c r="D15" s="35" t="str">
        <x:v>作业准备与过程管理</x:v>
      </x:c>
      <x:c r="E15" s="35" t="str">
        <x:v>准备或实施高处作业时</x:v>
      </x:c>
      <x:c r="F15" s="35" t="str">
        <x:v>工具应随手放入工具袋</x:v>
      </x:c>
      <x:c r="G15" s="35" t="str">
        <x:v>无明确数值；按文本要求判断</x:v>
      </x:c>
      <x:c r="H15" s="41" t="str">
        <x:v>应执行</x:v>
      </x:c>
      <x:c r="I15" s="35" t="str">
        <x:v>高处坠落；物体打击</x:v>
      </x:c>
      <x:c r="J15" s="41" t="str">
        <x:v>较大</x:v>
      </x:c>
      <x:c r="K15" s="35" t="str">
        <x:v>高处作业人员；安全员；施工员；班组长</x:v>
      </x:c>
      <x:c r="L15" s="35" t="str">
        <x:v>现场检查+人工确认</x:v>
      </x:c>
      <x:c r="M15" s="35" t="str">
        <x:v>建筑施工高处作业安全技术规范</x:v>
      </x:c>
      <x:c r="N15" s="35" t="str">
        <x:v>JGJ 80-2016</x:v>
      </x:c>
      <x:c r="O15" s="35" t="str">
        <x:v>行业标准</x:v>
      </x:c>
      <x:c r="P15" s="35" t="str">
        <x:v>现行版本（提交前建议再核验官方状态）</x:v>
      </x:c>
      <x:c r="Q15" s="35" t="str">
        <x:v>3.0.6</x:v>
      </x:c>
      <x:c r="R15" s="35" t="str">
        <x:v>3.0.6对施工作业现场可能坠落的物料，应及时拆除或采取固定措施。高处作业所用的物料应堆放平稳，不得妨碍通行和装卸。工具应随手放入工具袋；作业中的走道、通道板和登高用具，应随时清理干净；拆卸下的物料及余料和废料应及时清理运走，不得随意放置或向下丢弃。传递物料时不得抛掷</x:v>
      </x:c>
      <x:c r="S15" s="41" t="n">
        <x:v>11</x:v>
      </x:c>
      <x:c r="T15" s="44" t="n">
        <x:v>5</x:v>
      </x:c>
    </x:row>
    <x:row r="16" ht="56" customHeight="1">
      <x:c r="A16" s="40" t="str">
        <x:v>GZ-012</x:v>
      </x:c>
      <x:c r="B16" s="41" t="str">
        <x:v>启用</x:v>
      </x:c>
      <x:c r="C16" s="35" t="str">
        <x:v>高处作业综合管理</x:v>
      </x:c>
      <x:c r="D16" s="35" t="str">
        <x:v>作业准备与过程管理</x:v>
      </x:c>
      <x:c r="E16" s="35" t="str">
        <x:v>准备或实施高处作业时</x:v>
      </x:c>
      <x:c r="F16" s="35" t="str">
        <x:v>作业中的走道、通道板和登高用具，应随时清理干净</x:v>
      </x:c>
      <x:c r="G16" s="35" t="str">
        <x:v>无明确数值；按文本要求判断</x:v>
      </x:c>
      <x:c r="H16" s="41" t="str">
        <x:v>应执行</x:v>
      </x:c>
      <x:c r="I16" s="35" t="str">
        <x:v>高处坠落；物体打击</x:v>
      </x:c>
      <x:c r="J16" s="41" t="str">
        <x:v>较大</x:v>
      </x:c>
      <x:c r="K16" s="35" t="str">
        <x:v>高处作业人员；安全员；施工员；班组长</x:v>
      </x:c>
      <x:c r="L16" s="35" t="str">
        <x:v>现场检查+人工确认</x:v>
      </x:c>
      <x:c r="M16" s="35" t="str">
        <x:v>建筑施工高处作业安全技术规范</x:v>
      </x:c>
      <x:c r="N16" s="35" t="str">
        <x:v>JGJ 80-2016</x:v>
      </x:c>
      <x:c r="O16" s="35" t="str">
        <x:v>行业标准</x:v>
      </x:c>
      <x:c r="P16" s="35" t="str">
        <x:v>现行版本（提交前建议再核验官方状态）</x:v>
      </x:c>
      <x:c r="Q16" s="35" t="str">
        <x:v>3.0.6</x:v>
      </x:c>
      <x:c r="R16" s="35" t="str">
        <x:v>3.0.6对施工作业现场可能坠落的物料，应及时拆除或采取固定措施。高处作业所用的物料应堆放平稳，不得妨碍通行和装卸。工具应随手放入工具袋；作业中的走道、通道板和登高用具，应随时清理干净；拆卸下的物料及余料和废料应及时清理运走，不得随意放置或向下丢弃。传递物料时不得抛掷</x:v>
      </x:c>
      <x:c r="S16" s="41" t="n">
        <x:v>11</x:v>
      </x:c>
      <x:c r="T16" s="44" t="n">
        <x:v>5</x:v>
      </x:c>
    </x:row>
    <x:row r="17" ht="56" customHeight="1">
      <x:c r="A17" s="40" t="str">
        <x:v>GZ-013</x:v>
      </x:c>
      <x:c r="B17" s="41" t="str">
        <x:v>启用</x:v>
      </x:c>
      <x:c r="C17" s="35" t="str">
        <x:v>高处作业综合管理</x:v>
      </x:c>
      <x:c r="D17" s="35" t="str">
        <x:v>作业准备与过程管理</x:v>
      </x:c>
      <x:c r="E17" s="35" t="str">
        <x:v>准备或实施高处作业时</x:v>
      </x:c>
      <x:c r="F17" s="35" t="str">
        <x:v>拆卸下的物料及余料和废料应及时清理运走，不得随意放置或向下丢弃</x:v>
      </x:c>
      <x:c r="G17" s="35" t="str">
        <x:v>无明确数值；按文本要求判断</x:v>
      </x:c>
      <x:c r="H17" s="41" t="str">
        <x:v>禁止/不得</x:v>
      </x:c>
      <x:c r="I17" s="35" t="str">
        <x:v>高处坠落；物体打击</x:v>
      </x:c>
      <x:c r="J17" s="41" t="str">
        <x:v>重大</x:v>
      </x:c>
      <x:c r="K17" s="35" t="str">
        <x:v>高处作业人员；安全员；施工员；班组长</x:v>
      </x:c>
      <x:c r="L17" s="35" t="str">
        <x:v>现场检查+人工确认</x:v>
      </x:c>
      <x:c r="M17" s="35" t="str">
        <x:v>建筑施工高处作业安全技术规范</x:v>
      </x:c>
      <x:c r="N17" s="35" t="str">
        <x:v>JGJ 80-2016</x:v>
      </x:c>
      <x:c r="O17" s="35" t="str">
        <x:v>行业标准</x:v>
      </x:c>
      <x:c r="P17" s="35" t="str">
        <x:v>现行版本（提交前建议再核验官方状态）</x:v>
      </x:c>
      <x:c r="Q17" s="35" t="str">
        <x:v>3.0.6</x:v>
      </x:c>
      <x:c r="R17" s="35" t="str">
        <x:v>3.0.6对施工作业现场可能坠落的物料，应及时拆除或采取固定措施。高处作业所用的物料应堆放平稳，不得妨碍通行和装卸。工具应随手放入工具袋；作业中的走道、通道板和登高用具，应随时清理干净；拆卸下的物料及余料和废料应及时清理运走，不得随意放置或向下丢弃。传递物料时不得抛掷</x:v>
      </x:c>
      <x:c r="S17" s="41" t="n">
        <x:v>11</x:v>
      </x:c>
      <x:c r="T17" s="44" t="n">
        <x:v>5</x:v>
      </x:c>
    </x:row>
    <x:row r="18" ht="56" customHeight="1">
      <x:c r="A18" s="40" t="str">
        <x:v>GZ-014</x:v>
      </x:c>
      <x:c r="B18" s="41" t="str">
        <x:v>启用</x:v>
      </x:c>
      <x:c r="C18" s="35" t="str">
        <x:v>高处作业综合管理</x:v>
      </x:c>
      <x:c r="D18" s="35" t="str">
        <x:v>作业准备与过程管理</x:v>
      </x:c>
      <x:c r="E18" s="35" t="str">
        <x:v>准备或实施高处作业时</x:v>
      </x:c>
      <x:c r="F18" s="35" t="str">
        <x:v>传递物料时不得抛掷</x:v>
      </x:c>
      <x:c r="G18" s="35" t="str">
        <x:v>无明确数值；按文本要求判断</x:v>
      </x:c>
      <x:c r="H18" s="41" t="str">
        <x:v>禁止/不得</x:v>
      </x:c>
      <x:c r="I18" s="35" t="str">
        <x:v>高处坠落；物体打击</x:v>
      </x:c>
      <x:c r="J18" s="41" t="str">
        <x:v>重大</x:v>
      </x:c>
      <x:c r="K18" s="35" t="str">
        <x:v>高处作业人员；安全员；施工员；班组长</x:v>
      </x:c>
      <x:c r="L18" s="35" t="str">
        <x:v>现场目视或影像检查</x:v>
      </x:c>
      <x:c r="M18" s="35" t="str">
        <x:v>建筑施工高处作业安全技术规范</x:v>
      </x:c>
      <x:c r="N18" s="35" t="str">
        <x:v>JGJ 80-2016</x:v>
      </x:c>
      <x:c r="O18" s="35" t="str">
        <x:v>行业标准</x:v>
      </x:c>
      <x:c r="P18" s="35" t="str">
        <x:v>现行版本（提交前建议再核验官方状态）</x:v>
      </x:c>
      <x:c r="Q18" s="35" t="str">
        <x:v>3.0.6</x:v>
      </x:c>
      <x:c r="R18" s="35" t="str">
        <x:v>3.0.6对施工作业现场可能坠落的物料，应及时拆除或采取固定措施。高处作业所用的物料应堆放平稳，不得妨碍通行和装卸。工具应随手放入工具袋；作业中的走道、通道板和登高用具，应随时清理干净；拆卸下的物料及余料和废料应及时清理运走，不得随意放置或向下丢弃。传递物料时不得抛掷</x:v>
      </x:c>
      <x:c r="S18" s="41" t="n">
        <x:v>11</x:v>
      </x:c>
      <x:c r="T18" s="44" t="n">
        <x:v>5</x:v>
      </x:c>
    </x:row>
    <x:row r="19" ht="56" customHeight="1">
      <x:c r="A19" s="40" t="str">
        <x:v>GZ-015</x:v>
      </x:c>
      <x:c r="B19" s="41" t="str">
        <x:v>启用</x:v>
      </x:c>
      <x:c r="C19" s="35" t="str">
        <x:v>高处作业综合管理</x:v>
      </x:c>
      <x:c r="D19" s="35" t="str">
        <x:v>作业准备与过程管理</x:v>
      </x:c>
      <x:c r="E19" s="35" t="str">
        <x:v>准备或实施高处作业时</x:v>
      </x:c>
      <x:c r="F19" s="35" t="str">
        <x:v>高处作业应按现行国家标准《建设工程施工现场消防安全技术规范》GB50720的规定，采取防火措施</x:v>
      </x:c>
      <x:c r="G19" s="35" t="str">
        <x:v>无明确数值；按文本要求判断</x:v>
      </x:c>
      <x:c r="H19" s="41" t="str">
        <x:v>应执行</x:v>
      </x:c>
      <x:c r="I19" s="35" t="str">
        <x:v>火灾；灼伤；高处坠落</x:v>
      </x:c>
      <x:c r="J19" s="41" t="str">
        <x:v>较大</x:v>
      </x:c>
      <x:c r="K19" s="35" t="str">
        <x:v>高处作业人员；安全员；施工员；班组长</x:v>
      </x:c>
      <x:c r="L19" s="35" t="str">
        <x:v>现场目视+尺寸/仪器测量</x:v>
      </x:c>
      <x:c r="M19" s="35" t="str">
        <x:v>建筑施工高处作业安全技术规范</x:v>
      </x:c>
      <x:c r="N19" s="35" t="str">
        <x:v>JGJ 80-2016</x:v>
      </x:c>
      <x:c r="O19" s="35" t="str">
        <x:v>行业标准</x:v>
      </x:c>
      <x:c r="P19" s="35" t="str">
        <x:v>现行版本（提交前建议再核验官方状态）</x:v>
      </x:c>
      <x:c r="Q19" s="35" t="str">
        <x:v>3.0.7</x:v>
      </x:c>
      <x:c r="R19" s="35" t="str">
        <x:v>3.0.7高处作业应按现行国家标准《建设工程施工现场消防安全技术规范》GB50720的规定，采取防火措施</x:v>
      </x:c>
      <x:c r="S19" s="41" t="n">
        <x:v>11</x:v>
      </x:c>
      <x:c r="T19" s="44" t="n">
        <x:v>5</x:v>
      </x:c>
    </x:row>
    <x:row r="20" ht="56" customHeight="1">
      <x:c r="A20" s="40" t="str">
        <x:v>GZ-016</x:v>
      </x:c>
      <x:c r="B20" s="41" t="str">
        <x:v>启用</x:v>
      </x:c>
      <x:c r="C20" s="35" t="str">
        <x:v>高处作业综合管理</x:v>
      </x:c>
      <x:c r="D20" s="35" t="str">
        <x:v>作业准备与过程管理</x:v>
      </x:c>
      <x:c r="E20" s="35" t="str">
        <x:v>在雨、霜、雾、雪等天气进行高处作业时</x:v>
      </x:c>
      <x:c r="F20" s="35" t="str">
        <x:v>在雨、霜、雾、雪等天气进行高处作业时，应采取防滑、防冻和防雷措施，并应及时清除作业面上的水、冰、雪、霜</x:v>
      </x:c>
      <x:c r="G20" s="35" t="str">
        <x:v>无明确数值；按文本要求判断</x:v>
      </x:c>
      <x:c r="H20" s="41" t="str">
        <x:v>应执行</x:v>
      </x:c>
      <x:c r="I20" s="35" t="str">
        <x:v>高处坠落；物体打击</x:v>
      </x:c>
      <x:c r="J20" s="41" t="str">
        <x:v>较大</x:v>
      </x:c>
      <x:c r="K20" s="35" t="str">
        <x:v>高处作业人员；安全员；施工员；班组长</x:v>
      </x:c>
      <x:c r="L20" s="35" t="str">
        <x:v>现场检查+人工确认</x:v>
      </x:c>
      <x:c r="M20" s="35" t="str">
        <x:v>建筑施工高处作业安全技术规范</x:v>
      </x:c>
      <x:c r="N20" s="35" t="str">
        <x:v>JGJ 80-2016</x:v>
      </x:c>
      <x:c r="O20" s="35" t="str">
        <x:v>行业标准</x:v>
      </x:c>
      <x:c r="P20" s="35" t="str">
        <x:v>现行版本（提交前建议再核验官方状态）</x:v>
      </x:c>
      <x:c r="Q20" s="35" t="str">
        <x:v>3.0.8</x:v>
      </x:c>
      <x:c r="R20" s="35" t="str">
        <x:v>3.0.8在雨、霜、雾、雪等天气进行高处作业时，应采取防滑、防冻和防雷措施，并应及时清除作业面上的水、冰、雪、霜。当遇有6级及以上强风、浓雾、沙尘暴等恶劣气候，不得进行露天攀登与悬空高处作业。雨雪天气后，应对高处作业安全设施进行检查，当发现有松动、变形、损坏或脱落等现象时，应立即修理完善，维修合格后方可使用</x:v>
      </x:c>
      <x:c r="S20" s="41" t="n">
        <x:v>11</x:v>
      </x:c>
      <x:c r="T20" s="44" t="n">
        <x:v>5</x:v>
      </x:c>
    </x:row>
    <x:row r="21" ht="56" customHeight="1">
      <x:c r="A21" s="40" t="str">
        <x:v>GZ-017</x:v>
      </x:c>
      <x:c r="B21" s="41" t="str">
        <x:v>启用</x:v>
      </x:c>
      <x:c r="C21" s="35" t="str">
        <x:v>高处作业综合管理</x:v>
      </x:c>
      <x:c r="D21" s="35" t="str">
        <x:v>作业准备与过程管理</x:v>
      </x:c>
      <x:c r="E21" s="35" t="str">
        <x:v>当遇有6级及以上强风、浓雾、沙尘暴等恶劣气候</x:v>
      </x:c>
      <x:c r="F21" s="35" t="str">
        <x:v>当遇有6级及以上强风、浓雾、沙尘暴等恶劣气候，不得进行露天攀登与悬空高处作业</x:v>
      </x:c>
      <x:c r="G21" s="35" t="str">
        <x:v>6级</x:v>
      </x:c>
      <x:c r="H21" s="41" t="str">
        <x:v>禁止/不得</x:v>
      </x:c>
      <x:c r="I21" s="35" t="str">
        <x:v>高处坠落；物体打击</x:v>
      </x:c>
      <x:c r="J21" s="41" t="str">
        <x:v>重大</x:v>
      </x:c>
      <x:c r="K21" s="35" t="str">
        <x:v>高处作业人员；安全员；施工员；班组长</x:v>
      </x:c>
      <x:c r="L21" s="35" t="str">
        <x:v>现场目视+尺寸/仪器测量</x:v>
      </x:c>
      <x:c r="M21" s="35" t="str">
        <x:v>建筑施工高处作业安全技术规范</x:v>
      </x:c>
      <x:c r="N21" s="35" t="str">
        <x:v>JGJ 80-2016</x:v>
      </x:c>
      <x:c r="O21" s="35" t="str">
        <x:v>行业标准</x:v>
      </x:c>
      <x:c r="P21" s="35" t="str">
        <x:v>现行版本（提交前建议再核验官方状态）</x:v>
      </x:c>
      <x:c r="Q21" s="35" t="str">
        <x:v>3.0.8</x:v>
      </x:c>
      <x:c r="R21" s="35" t="str">
        <x:v>3.0.8在雨、霜、雾、雪等天气进行高处作业时，应采取防滑、防冻和防雷措施，并应及时清除作业面上的水、冰、雪、霜。当遇有6级及以上强风、浓雾、沙尘暴等恶劣气候，不得进行露天攀登与悬空高处作业。雨雪天气后，应对高处作业安全设施进行检查，当发现有松动、变形、损坏或脱落等现象时，应立即修理完善，维修合格后方可使用</x:v>
      </x:c>
      <x:c r="S21" s="41" t="n">
        <x:v>11</x:v>
      </x:c>
      <x:c r="T21" s="44" t="n">
        <x:v>5</x:v>
      </x:c>
    </x:row>
    <x:row r="22" ht="56" customHeight="1">
      <x:c r="A22" s="40" t="str">
        <x:v>GZ-018</x:v>
      </x:c>
      <x:c r="B22" s="41" t="str">
        <x:v>启用</x:v>
      </x:c>
      <x:c r="C22" s="35" t="str">
        <x:v>高处作业综合管理</x:v>
      </x:c>
      <x:c r="D22" s="35" t="str">
        <x:v>作业准备与过程管理</x:v>
      </x:c>
      <x:c r="E22" s="35" t="str">
        <x:v>雨雪天气后</x:v>
      </x:c>
      <x:c r="F22" s="35" t="str">
        <x:v>雨雪天气后，应对高处作业安全设施进行检查，当发现有松动、变形、损坏或脱落等现象时，应立即修理完善，维修合格后方可使用</x:v>
      </x:c>
      <x:c r="G22" s="35" t="str">
        <x:v>无明确数值；按文本要求判断</x:v>
      </x:c>
      <x:c r="H22" s="41" t="str">
        <x:v>应执行</x:v>
      </x:c>
      <x:c r="I22" s="35" t="str">
        <x:v>高处坠落；物体打击</x:v>
      </x:c>
      <x:c r="J22" s="41" t="str">
        <x:v>较大</x:v>
      </x:c>
      <x:c r="K22" s="35" t="str">
        <x:v>安全员；施工员；监理人员；班组长</x:v>
      </x:c>
      <x:c r="L22" s="35" t="str">
        <x:v>现场检查+人工确认</x:v>
      </x:c>
      <x:c r="M22" s="35" t="str">
        <x:v>建筑施工高处作业安全技术规范</x:v>
      </x:c>
      <x:c r="N22" s="35" t="str">
        <x:v>JGJ 80-2016</x:v>
      </x:c>
      <x:c r="O22" s="35" t="str">
        <x:v>行业标准</x:v>
      </x:c>
      <x:c r="P22" s="35" t="str">
        <x:v>现行版本（提交前建议再核验官方状态）</x:v>
      </x:c>
      <x:c r="Q22" s="35" t="str">
        <x:v>3.0.8</x:v>
      </x:c>
      <x:c r="R22" s="35" t="str">
        <x:v>3.0.8在雨、霜、雾、雪等天气进行高处作业时，应采取防滑、防冻和防雷措施，并应及时清除作业面上的水、冰、雪、霜。当遇有6级及以上强风、浓雾、沙尘暴等恶劣气候，不得进行露天攀登与悬空高处作业。雨雪天气后，应对高处作业安全设施进行检查，当发现有松动、变形、损坏或脱落等现象时，应立即修理完善，维修合格后方可使用</x:v>
      </x:c>
      <x:c r="S22" s="41" t="n">
        <x:v>11</x:v>
      </x:c>
      <x:c r="T22" s="44" t="n">
        <x:v>5</x:v>
      </x:c>
    </x:row>
    <x:row r="23" ht="56" customHeight="1">
      <x:c r="A23" s="40" t="str">
        <x:v>GZ-019</x:v>
      </x:c>
      <x:c r="B23" s="41" t="str">
        <x:v>启用</x:v>
      </x:c>
      <x:c r="C23" s="35" t="str">
        <x:v>高处作业综合管理</x:v>
      </x:c>
      <x:c r="D23" s="35" t="str">
        <x:v>作业准备与过程管理</x:v>
      </x:c>
      <x:c r="E23" s="35" t="str">
        <x:v>对需临时拆除或变动的安全防护设施</x:v>
      </x:c>
      <x:c r="F23" s="35" t="str">
        <x:v>对需临时拆除或变动的安全防护设施，应采取可靠措施，作业后应立即恢复</x:v>
      </x:c>
      <x:c r="G23" s="35" t="str">
        <x:v>无明确数值；按文本要求判断</x:v>
      </x:c>
      <x:c r="H23" s="41" t="str">
        <x:v>应执行</x:v>
      </x:c>
      <x:c r="I23" s="35" t="str">
        <x:v>高处坠落；物体打击</x:v>
      </x:c>
      <x:c r="J23" s="41" t="str">
        <x:v>较大</x:v>
      </x:c>
      <x:c r="K23" s="35" t="str">
        <x:v>高处作业人员；安全员；施工员；班组长</x:v>
      </x:c>
      <x:c r="L23" s="35" t="str">
        <x:v>现场检查+人工确认</x:v>
      </x:c>
      <x:c r="M23" s="35" t="str">
        <x:v>建筑施工高处作业安全技术规范</x:v>
      </x:c>
      <x:c r="N23" s="35" t="str">
        <x:v>JGJ 80-2016</x:v>
      </x:c>
      <x:c r="O23" s="35" t="str">
        <x:v>行业标准</x:v>
      </x:c>
      <x:c r="P23" s="35" t="str">
        <x:v>现行版本（提交前建议再核验官方状态）</x:v>
      </x:c>
      <x:c r="Q23" s="35" t="str">
        <x:v>3.0.9</x:v>
      </x:c>
      <x:c r="R23" s="35" t="str">
        <x:v>3.0.9对需临时拆除或变动的安全防护设施，应采取可靠措施，作业后应立即恢复</x:v>
      </x:c>
      <x:c r="S23" s="41" t="n">
        <x:v>12</x:v>
      </x:c>
      <x:c r="T23" s="44" t="n">
        <x:v>6</x:v>
      </x:c>
    </x:row>
    <x:row r="24" ht="56" customHeight="1">
      <x:c r="A24" s="40" t="str">
        <x:v>GZ-020</x:v>
      </x:c>
      <x:c r="B24" s="41" t="str">
        <x:v>启用</x:v>
      </x:c>
      <x:c r="C24" s="35" t="str">
        <x:v>高处作业综合管理</x:v>
      </x:c>
      <x:c r="D24" s="35" t="str">
        <x:v>作业准备与过程管理</x:v>
      </x:c>
      <x:c r="E24" s="35" t="str">
        <x:v>准备或实施高处作业时</x:v>
      </x:c>
      <x:c r="F24" s="35" t="str">
        <x:v>安全防护设施验收应包括：防护栏杆的设置与搭设</x:v>
      </x:c>
      <x:c r="G24" s="35" t="str">
        <x:v>无明确数值；按文本要求判断</x:v>
      </x:c>
      <x:c r="H24" s="41" t="str">
        <x:v>应执行</x:v>
      </x:c>
      <x:c r="I24" s="35" t="str">
        <x:v>高处坠落；物体打击</x:v>
      </x:c>
      <x:c r="J24" s="41" t="str">
        <x:v>较大</x:v>
      </x:c>
      <x:c r="K24" s="35" t="str">
        <x:v>安全员；施工员；监理人员；班组长</x:v>
      </x:c>
      <x:c r="L24" s="35" t="str">
        <x:v>现场目视或影像检查</x:v>
      </x:c>
      <x:c r="M24" s="35" t="str">
        <x:v>建筑施工高处作业安全技术规范</x:v>
      </x:c>
      <x:c r="N24" s="35" t="str">
        <x:v>JGJ 80-2016</x:v>
      </x:c>
      <x:c r="O24" s="35" t="str">
        <x:v>行业标准</x:v>
      </x:c>
      <x:c r="P24" s="35" t="str">
        <x:v>现行版本（提交前建议再核验官方状态）</x:v>
      </x:c>
      <x:c r="Q24" s="35" t="str">
        <x:v>3.0.10</x:v>
      </x:c>
      <x:c r="R24" s="35" t="str">
        <x:v>3.0.10安全防护设施验收应包括下列主要内1防护栏杆的设置与搭设；2攀登与悬空作业的用具与设施搭议操作平台及平台防护设施的搭防护棚的搭设；5安全网的设置；6安全防护设施、设备的性能与质量、所用的材料、配件的规格；7设施的节点构造，材料配件的规格、材质及其与建筑物的固定、连接状况。X</x:v>
      </x:c>
      <x:c r="S24" s="41" t="n">
        <x:v>12</x:v>
      </x:c>
      <x:c r="T24" s="44" t="n">
        <x:v>6</x:v>
      </x:c>
    </x:row>
    <x:row r="25" ht="56" customHeight="1">
      <x:c r="A25" s="40" t="str">
        <x:v>GZ-021</x:v>
      </x:c>
      <x:c r="B25" s="41" t="str">
        <x:v>启用</x:v>
      </x:c>
      <x:c r="C25" s="35" t="str">
        <x:v>高处作业综合管理</x:v>
      </x:c>
      <x:c r="D25" s="35" t="str">
        <x:v>作业准备与过程管理</x:v>
      </x:c>
      <x:c r="E25" s="35" t="str">
        <x:v>准备或实施高处作业时</x:v>
      </x:c>
      <x:c r="F25" s="35" t="str">
        <x:v>安全防护设施验收应包括：安全网的设置</x:v>
      </x:c>
      <x:c r="G25" s="35" t="str">
        <x:v>无明确数值；按文本要求判断</x:v>
      </x:c>
      <x:c r="H25" s="41" t="str">
        <x:v>应执行</x:v>
      </x:c>
      <x:c r="I25" s="35" t="str">
        <x:v>高处坠落；物体打击</x:v>
      </x:c>
      <x:c r="J25" s="41" t="str">
        <x:v>较大</x:v>
      </x:c>
      <x:c r="K25" s="35" t="str">
        <x:v>安全员；施工员；监理人员；班组长</x:v>
      </x:c>
      <x:c r="L25" s="35" t="str">
        <x:v>现场目视或影像检查</x:v>
      </x:c>
      <x:c r="M25" s="35" t="str">
        <x:v>建筑施工高处作业安全技术规范</x:v>
      </x:c>
      <x:c r="N25" s="35" t="str">
        <x:v>JGJ 80-2016</x:v>
      </x:c>
      <x:c r="O25" s="35" t="str">
        <x:v>行业标准</x:v>
      </x:c>
      <x:c r="P25" s="35" t="str">
        <x:v>现行版本（提交前建议再核验官方状态）</x:v>
      </x:c>
      <x:c r="Q25" s="35" t="str">
        <x:v>3.0.10</x:v>
      </x:c>
      <x:c r="R25" s="35" t="str">
        <x:v>3.0.10安全防护设施验收应包括下列主要内1防护栏杆的设置与搭设；2攀登与悬空作业的用具与设施搭议操作平台及平台防护设施的搭防护棚的搭设；5安全网的设置；6安全防护设施、设备的性能与质量、所用的材料、配件的规格；7设施的节点构造，材料配件的规格、材质及其与建筑物的固定、连接状况。X</x:v>
      </x:c>
      <x:c r="S25" s="41" t="n">
        <x:v>12</x:v>
      </x:c>
      <x:c r="T25" s="44" t="n">
        <x:v>6</x:v>
      </x:c>
    </x:row>
    <x:row r="26" ht="56" customHeight="1">
      <x:c r="A26" s="40" t="str">
        <x:v>GZ-022</x:v>
      </x:c>
      <x:c r="B26" s="41" t="str">
        <x:v>启用</x:v>
      </x:c>
      <x:c r="C26" s="35" t="str">
        <x:v>高处作业综合管理</x:v>
      </x:c>
      <x:c r="D26" s="35" t="str">
        <x:v>作业准备与过程管理</x:v>
      </x:c>
      <x:c r="E26" s="35" t="str">
        <x:v>准备或实施高处作业时</x:v>
      </x:c>
      <x:c r="F26" s="35" t="str">
        <x:v>安全防护设施验收应包括：安全防护设施、设备的性能与质量、所用的材料、配件的规格</x:v>
      </x:c>
      <x:c r="G26" s="35" t="str">
        <x:v>无明确数值；按文本要求判断</x:v>
      </x:c>
      <x:c r="H26" s="41" t="str">
        <x:v>应执行</x:v>
      </x:c>
      <x:c r="I26" s="35" t="str">
        <x:v>高处坠落；物体打击</x:v>
      </x:c>
      <x:c r="J26" s="41" t="str">
        <x:v>较大</x:v>
      </x:c>
      <x:c r="K26" s="35" t="str">
        <x:v>安全员；施工员；监理人员；班组长</x:v>
      </x:c>
      <x:c r="L26" s="35" t="str">
        <x:v>现场检查+人工确认</x:v>
      </x:c>
      <x:c r="M26" s="35" t="str">
        <x:v>建筑施工高处作业安全技术规范</x:v>
      </x:c>
      <x:c r="N26" s="35" t="str">
        <x:v>JGJ 80-2016</x:v>
      </x:c>
      <x:c r="O26" s="35" t="str">
        <x:v>行业标准</x:v>
      </x:c>
      <x:c r="P26" s="35" t="str">
        <x:v>现行版本（提交前建议再核验官方状态）</x:v>
      </x:c>
      <x:c r="Q26" s="35" t="str">
        <x:v>3.0.10</x:v>
      </x:c>
      <x:c r="R26" s="35" t="str">
        <x:v>3.0.10安全防护设施验收应包括下列主要内1防护栏杆的设置与搭设；2攀登与悬空作业的用具与设施搭议操作平台及平台防护设施的搭防护棚的搭设；5安全网的设置；6安全防护设施、设备的性能与质量、所用的材料、配件的规格；7设施的节点构造，材料配件的规格、材质及其与建筑物的固定、连接状况。X</x:v>
      </x:c>
      <x:c r="S26" s="41" t="n">
        <x:v>12</x:v>
      </x:c>
      <x:c r="T26" s="44" t="n">
        <x:v>6</x:v>
      </x:c>
    </x:row>
    <x:row r="27" ht="56" customHeight="1">
      <x:c r="A27" s="40" t="str">
        <x:v>GZ-023</x:v>
      </x:c>
      <x:c r="B27" s="41" t="str">
        <x:v>启用</x:v>
      </x:c>
      <x:c r="C27" s="35" t="str">
        <x:v>高处作业综合管理</x:v>
      </x:c>
      <x:c r="D27" s="35" t="str">
        <x:v>作业准备与过程管理</x:v>
      </x:c>
      <x:c r="E27" s="35" t="str">
        <x:v>准备或实施高处作业时</x:v>
      </x:c>
      <x:c r="F27" s="35" t="str">
        <x:v>安全防护设施验收应包括：设施的节点构造，材料配件的规格、材质及其与建筑物的固定、连接状况</x:v>
      </x:c>
      <x:c r="G27" s="35" t="str">
        <x:v>无明确数值；按文本要求判断</x:v>
      </x:c>
      <x:c r="H27" s="41" t="str">
        <x:v>应执行</x:v>
      </x:c>
      <x:c r="I27" s="35" t="str">
        <x:v>高处坠落；物体打击</x:v>
      </x:c>
      <x:c r="J27" s="41" t="str">
        <x:v>较大</x:v>
      </x:c>
      <x:c r="K27" s="35" t="str">
        <x:v>安全员；施工员；监理人员；班组长</x:v>
      </x:c>
      <x:c r="L27" s="35" t="str">
        <x:v>现场检查+人工确认</x:v>
      </x:c>
      <x:c r="M27" s="35" t="str">
        <x:v>建筑施工高处作业安全技术规范</x:v>
      </x:c>
      <x:c r="N27" s="35" t="str">
        <x:v>JGJ 80-2016</x:v>
      </x:c>
      <x:c r="O27" s="35" t="str">
        <x:v>行业标准</x:v>
      </x:c>
      <x:c r="P27" s="35" t="str">
        <x:v>现行版本（提交前建议再核验官方状态）</x:v>
      </x:c>
      <x:c r="Q27" s="35" t="str">
        <x:v>3.0.10</x:v>
      </x:c>
      <x:c r="R27" s="35" t="str">
        <x:v>3.0.10安全防护设施验收应包括下列主要内1防护栏杆的设置与搭设；2攀登与悬空作业的用具与设施搭议操作平台及平台防护设施的搭防护棚的搭设；5安全网的设置；6安全防护设施、设备的性能与质量、所用的材料、配件的规格；7设施的节点构造，材料配件的规格、材质及其与建筑物的固定、连接状况。X</x:v>
      </x:c>
      <x:c r="S27" s="41" t="n">
        <x:v>12</x:v>
      </x:c>
      <x:c r="T27" s="44" t="n">
        <x:v>6</x:v>
      </x:c>
    </x:row>
    <x:row r="28" ht="56" customHeight="1">
      <x:c r="A28" s="40" t="str">
        <x:v>GZ-024</x:v>
      </x:c>
      <x:c r="B28" s="41" t="str">
        <x:v>启用</x:v>
      </x:c>
      <x:c r="C28" s="35" t="str">
        <x:v>高处作业综合管理</x:v>
      </x:c>
      <x:c r="D28" s="35" t="str">
        <x:v>作业准备与过程管理</x:v>
      </x:c>
      <x:c r="E28" s="35" t="str">
        <x:v>准备或实施高处作业时</x:v>
      </x:c>
      <x:c r="F28" s="35" t="str">
        <x:v>安全防护设施验收资料应包括：施工组织设计中的安全技术措施或施工方案</x:v>
      </x:c>
      <x:c r="G28" s="35" t="str">
        <x:v>无明确数值；按文本要求判断</x:v>
      </x:c>
      <x:c r="H28" s="41" t="str">
        <x:v>应执行</x:v>
      </x:c>
      <x:c r="I28" s="35" t="str">
        <x:v>高处坠落；物体打击</x:v>
      </x:c>
      <x:c r="J28" s="41" t="str">
        <x:v>较大</x:v>
      </x:c>
      <x:c r="K28" s="35" t="str">
        <x:v>技术负责人；方案编制人员；项目负责人；安全员</x:v>
      </x:c>
      <x:c r="L28" s="35" t="str">
        <x:v>文件核验</x:v>
      </x:c>
      <x:c r="M28" s="35" t="str">
        <x:v>建筑施工高处作业安全技术规范</x:v>
      </x:c>
      <x:c r="N28" s="35" t="str">
        <x:v>JGJ 80-2016</x:v>
      </x:c>
      <x:c r="O28" s="35" t="str">
        <x:v>行业标准</x:v>
      </x:c>
      <x:c r="P28" s="35" t="str">
        <x:v>现行版本（提交前建议再核验官方状态）</x:v>
      </x:c>
      <x:c r="Q28" s="35" t="str">
        <x:v>3.0.11</x:v>
      </x:c>
      <x:c r="R28" s="35" t="str">
        <x:v>3.0.11安全防护设施验收资料应包括下列主要内容：1施工组织设计中的安全技术措施或施工方案；安全防护用品用具、材料和设备产品合格证明；安全防护设施验收记录；4/预埋件隐蔽验收记录；5安全防护设施变更记录</x:v>
      </x:c>
      <x:c r="S28" s="41" t="n">
        <x:v>12</x:v>
      </x:c>
      <x:c r="T28" s="44" t="n">
        <x:v>6</x:v>
      </x:c>
    </x:row>
    <x:row r="29" ht="56" customHeight="1">
      <x:c r="A29" s="40" t="str">
        <x:v>GZ-025</x:v>
      </x:c>
      <x:c r="B29" s="41" t="str">
        <x:v>启用</x:v>
      </x:c>
      <x:c r="C29" s="35" t="str">
        <x:v>高处作业综合管理</x:v>
      </x:c>
      <x:c r="D29" s="35" t="str">
        <x:v>作业准备与过程管理</x:v>
      </x:c>
      <x:c r="E29" s="35" t="str">
        <x:v>准备或实施高处作业时</x:v>
      </x:c>
      <x:c r="F29" s="35" t="str">
        <x:v>安全防护设施验收资料应包括：安全防护用品用具、材料和设备产品合格证明</x:v>
      </x:c>
      <x:c r="G29" s="35" t="str">
        <x:v>无明确数值；按文本要求判断</x:v>
      </x:c>
      <x:c r="H29" s="41" t="str">
        <x:v>应执行</x:v>
      </x:c>
      <x:c r="I29" s="35" t="str">
        <x:v>高处坠落；物体打击</x:v>
      </x:c>
      <x:c r="J29" s="41" t="str">
        <x:v>较大</x:v>
      </x:c>
      <x:c r="K29" s="35" t="str">
        <x:v>安全员；施工员；监理人员；班组长</x:v>
      </x:c>
      <x:c r="L29" s="35" t="str">
        <x:v>文件核验</x:v>
      </x:c>
      <x:c r="M29" s="35" t="str">
        <x:v>建筑施工高处作业安全技术规范</x:v>
      </x:c>
      <x:c r="N29" s="35" t="str">
        <x:v>JGJ 80-2016</x:v>
      </x:c>
      <x:c r="O29" s="35" t="str">
        <x:v>行业标准</x:v>
      </x:c>
      <x:c r="P29" s="35" t="str">
        <x:v>现行版本（提交前建议再核验官方状态）</x:v>
      </x:c>
      <x:c r="Q29" s="35" t="str">
        <x:v>3.0.11</x:v>
      </x:c>
      <x:c r="R29" s="35" t="str">
        <x:v>3.0.11安全防护设施验收资料应包括下列主要内容：1施工组织设计中的安全技术措施或施工方案；安全防护用品用具、材料和设备产品合格证明；安全防护设施验收记录；4/预埋件隐蔽验收记录；5安全防护设施变更记录</x:v>
      </x:c>
      <x:c r="S29" s="41" t="n">
        <x:v>12</x:v>
      </x:c>
      <x:c r="T29" s="44" t="n">
        <x:v>6</x:v>
      </x:c>
    </x:row>
    <x:row r="30" ht="56" customHeight="1">
      <x:c r="A30" s="40" t="str">
        <x:v>GZ-026</x:v>
      </x:c>
      <x:c r="B30" s="41" t="str">
        <x:v>启用</x:v>
      </x:c>
      <x:c r="C30" s="35" t="str">
        <x:v>高处作业综合管理</x:v>
      </x:c>
      <x:c r="D30" s="35" t="str">
        <x:v>作业准备与过程管理</x:v>
      </x:c>
      <x:c r="E30" s="35" t="str">
        <x:v>准备或实施高处作业时</x:v>
      </x:c>
      <x:c r="F30" s="35" t="str">
        <x:v>安全防护设施验收资料应包括：安全防护设施验收记录</x:v>
      </x:c>
      <x:c r="G30" s="35" t="str">
        <x:v>无明确数值；按文本要求判断</x:v>
      </x:c>
      <x:c r="H30" s="41" t="str">
        <x:v>应执行</x:v>
      </x:c>
      <x:c r="I30" s="35" t="str">
        <x:v>高处坠落；物体打击</x:v>
      </x:c>
      <x:c r="J30" s="41" t="str">
        <x:v>较大</x:v>
      </x:c>
      <x:c r="K30" s="35" t="str">
        <x:v>安全员；施工员；监理人员；班组长</x:v>
      </x:c>
      <x:c r="L30" s="35" t="str">
        <x:v>文件核验</x:v>
      </x:c>
      <x:c r="M30" s="35" t="str">
        <x:v>建筑施工高处作业安全技术规范</x:v>
      </x:c>
      <x:c r="N30" s="35" t="str">
        <x:v>JGJ 80-2016</x:v>
      </x:c>
      <x:c r="O30" s="35" t="str">
        <x:v>行业标准</x:v>
      </x:c>
      <x:c r="P30" s="35" t="str">
        <x:v>现行版本（提交前建议再核验官方状态）</x:v>
      </x:c>
      <x:c r="Q30" s="35" t="str">
        <x:v>3.0.11</x:v>
      </x:c>
      <x:c r="R30" s="35" t="str">
        <x:v>3.0.11安全防护设施验收资料应包括下列主要内容：1施工组织设计中的安全技术措施或施工方案；安全防护用品用具、材料和设备产品合格证明；安全防护设施验收记录；4/预埋件隐蔽验收记录；5安全防护设施变更记录</x:v>
      </x:c>
      <x:c r="S30" s="41" t="n">
        <x:v>12</x:v>
      </x:c>
      <x:c r="T30" s="44" t="n">
        <x:v>6</x:v>
      </x:c>
    </x:row>
    <x:row r="31" ht="56" customHeight="1">
      <x:c r="A31" s="40" t="str">
        <x:v>GZ-027</x:v>
      </x:c>
      <x:c r="B31" s="41" t="str">
        <x:v>启用</x:v>
      </x:c>
      <x:c r="C31" s="35" t="str">
        <x:v>高处作业综合管理</x:v>
      </x:c>
      <x:c r="D31" s="35" t="str">
        <x:v>作业准备与过程管理</x:v>
      </x:c>
      <x:c r="E31" s="35" t="str">
        <x:v>准备或实施高处作业时</x:v>
      </x:c>
      <x:c r="F31" s="35" t="str">
        <x:v>安全防护设施验收资料应包括：4/预埋件隐蔽验收记录</x:v>
      </x:c>
      <x:c r="G31" s="35" t="str">
        <x:v>无明确数值；按文本要求判断</x:v>
      </x:c>
      <x:c r="H31" s="41" t="str">
        <x:v>应执行</x:v>
      </x:c>
      <x:c r="I31" s="35" t="str">
        <x:v>高处坠落；物体打击</x:v>
      </x:c>
      <x:c r="J31" s="41" t="str">
        <x:v>较大</x:v>
      </x:c>
      <x:c r="K31" s="35" t="str">
        <x:v>安全员；施工员；监理人员；班组长</x:v>
      </x:c>
      <x:c r="L31" s="35" t="str">
        <x:v>文件核验</x:v>
      </x:c>
      <x:c r="M31" s="35" t="str">
        <x:v>建筑施工高处作业安全技术规范</x:v>
      </x:c>
      <x:c r="N31" s="35" t="str">
        <x:v>JGJ 80-2016</x:v>
      </x:c>
      <x:c r="O31" s="35" t="str">
        <x:v>行业标准</x:v>
      </x:c>
      <x:c r="P31" s="35" t="str">
        <x:v>现行版本（提交前建议再核验官方状态）</x:v>
      </x:c>
      <x:c r="Q31" s="35" t="str">
        <x:v>3.0.11</x:v>
      </x:c>
      <x:c r="R31" s="35" t="str">
        <x:v>3.0.11安全防护设施验收资料应包括下列主要内容：1施工组织设计中的安全技术措施或施工方案；安全防护用品用具、材料和设备产品合格证明；安全防护设施验收记录；4/预埋件隐蔽验收记录；5安全防护设施变更记录</x:v>
      </x:c>
      <x:c r="S31" s="41" t="n">
        <x:v>12</x:v>
      </x:c>
      <x:c r="T31" s="44" t="n">
        <x:v>6</x:v>
      </x:c>
    </x:row>
    <x:row r="32" ht="56" customHeight="1">
      <x:c r="A32" s="40" t="str">
        <x:v>GZ-028</x:v>
      </x:c>
      <x:c r="B32" s="41" t="str">
        <x:v>启用</x:v>
      </x:c>
      <x:c r="C32" s="35" t="str">
        <x:v>高处作业综合管理</x:v>
      </x:c>
      <x:c r="D32" s="35" t="str">
        <x:v>作业准备与过程管理</x:v>
      </x:c>
      <x:c r="E32" s="35" t="str">
        <x:v>准备或实施高处作业时</x:v>
      </x:c>
      <x:c r="F32" s="35" t="str">
        <x:v>安全防护设施验收资料应包括：安全防护设施变更记录</x:v>
      </x:c>
      <x:c r="G32" s="35" t="str">
        <x:v>无明确数值；按文本要求判断</x:v>
      </x:c>
      <x:c r="H32" s="41" t="str">
        <x:v>应执行</x:v>
      </x:c>
      <x:c r="I32" s="35" t="str">
        <x:v>高处坠落；物体打击</x:v>
      </x:c>
      <x:c r="J32" s="41" t="str">
        <x:v>较大</x:v>
      </x:c>
      <x:c r="K32" s="35" t="str">
        <x:v>安全员；施工员；监理人员；班组长</x:v>
      </x:c>
      <x:c r="L32" s="35" t="str">
        <x:v>文件核验</x:v>
      </x:c>
      <x:c r="M32" s="35" t="str">
        <x:v>建筑施工高处作业安全技术规范</x:v>
      </x:c>
      <x:c r="N32" s="35" t="str">
        <x:v>JGJ 80-2016</x:v>
      </x:c>
      <x:c r="O32" s="35" t="str">
        <x:v>行业标准</x:v>
      </x:c>
      <x:c r="P32" s="35" t="str">
        <x:v>现行版本（提交前建议再核验官方状态）</x:v>
      </x:c>
      <x:c r="Q32" s="35" t="str">
        <x:v>3.0.11</x:v>
      </x:c>
      <x:c r="R32" s="35" t="str">
        <x:v>3.0.11安全防护设施验收资料应包括下列主要内容：1施工组织设计中的安全技术措施或施工方案；安全防护用品用具、材料和设备产品合格证明；安全防护设施验收记录；4/预埋件隐蔽验收记录；5安全防护设施变更记录</x:v>
      </x:c>
      <x:c r="S32" s="41" t="n">
        <x:v>12</x:v>
      </x:c>
      <x:c r="T32" s="44" t="n">
        <x:v>6</x:v>
      </x:c>
    </x:row>
    <x:row r="33" ht="56" customHeight="1">
      <x:c r="A33" s="40" t="str">
        <x:v>GZ-029</x:v>
      </x:c>
      <x:c r="B33" s="41" t="str">
        <x:v>启用</x:v>
      </x:c>
      <x:c r="C33" s="35" t="str">
        <x:v>高处作业综合管理</x:v>
      </x:c>
      <x:c r="D33" s="35" t="str">
        <x:v>作业准备与过程管理</x:v>
      </x:c>
      <x:c r="E33" s="35" t="str">
        <x:v>准备或实施高处作业时</x:v>
      </x:c>
      <x:c r="F33" s="35" t="str">
        <x:v>应有专人对各类安全防护设施进行检查和维修保养，发现隐患应及时采取整改措施</x:v>
      </x:c>
      <x:c r="G33" s="35" t="str">
        <x:v>无明确数值；按文本要求判断</x:v>
      </x:c>
      <x:c r="H33" s="41" t="str">
        <x:v>应执行</x:v>
      </x:c>
      <x:c r="I33" s="35" t="str">
        <x:v>高处坠落；物体打击</x:v>
      </x:c>
      <x:c r="J33" s="41" t="str">
        <x:v>较大</x:v>
      </x:c>
      <x:c r="K33" s="35" t="str">
        <x:v>安全员；施工员；监理人员；班组长</x:v>
      </x:c>
      <x:c r="L33" s="35" t="str">
        <x:v>现场检查+人工确认</x:v>
      </x:c>
      <x:c r="M33" s="35" t="str">
        <x:v>建筑施工高处作业安全技术规范</x:v>
      </x:c>
      <x:c r="N33" s="35" t="str">
        <x:v>JGJ 80-2016</x:v>
      </x:c>
      <x:c r="O33" s="35" t="str">
        <x:v>行业标准</x:v>
      </x:c>
      <x:c r="P33" s="35" t="str">
        <x:v>现行版本（提交前建议再核验官方状态）</x:v>
      </x:c>
      <x:c r="Q33" s="35" t="str">
        <x:v>3.0.12</x:v>
      </x:c>
      <x:c r="R33" s="35" t="str">
        <x:v>3.0.12应有专人对各类安全防护设施进行检查和维修保养，发现隐患应及时采取整改措施</x:v>
      </x:c>
      <x:c r="S33" s="41" t="n">
        <x:v>12</x:v>
      </x:c>
      <x:c r="T33" s="44" t="n">
        <x:v>6</x:v>
      </x:c>
    </x:row>
    <x:row r="34" ht="56" customHeight="1">
      <x:c r="A34" s="40" t="str">
        <x:v>GZ-030</x:v>
      </x:c>
      <x:c r="B34" s="41" t="str">
        <x:v>启用</x:v>
      </x:c>
      <x:c r="C34" s="35" t="str">
        <x:v>高处作业综合管理</x:v>
      </x:c>
      <x:c r="D34" s="35" t="str">
        <x:v>作业准备与过程管理</x:v>
      </x:c>
      <x:c r="E34" s="35" t="str">
        <x:v>准备或实施高处作业时</x:v>
      </x:c>
      <x:c r="F34" s="35" t="str">
        <x:v>安全防护设施宜采用定型化、工具化设施，防护栏应为黑黄或红白相间的条纹标示，盖件应为黄或红色标示</x:v>
      </x:c>
      <x:c r="G34" s="35" t="str">
        <x:v>无明确数值；按文本要求判断</x:v>
      </x:c>
      <x:c r="H34" s="41" t="str">
        <x:v>应执行</x:v>
      </x:c>
      <x:c r="I34" s="35" t="str">
        <x:v>高处坠落；物体打击</x:v>
      </x:c>
      <x:c r="J34" s="41" t="str">
        <x:v>较大</x:v>
      </x:c>
      <x:c r="K34" s="35" t="str">
        <x:v>高处作业人员；安全员；施工员；班组长</x:v>
      </x:c>
      <x:c r="L34" s="35" t="str">
        <x:v>现场检查+人工确认</x:v>
      </x:c>
      <x:c r="M34" s="35" t="str">
        <x:v>建筑施工高处作业安全技术规范</x:v>
      </x:c>
      <x:c r="N34" s="35" t="str">
        <x:v>JGJ 80-2016</x:v>
      </x:c>
      <x:c r="O34" s="35" t="str">
        <x:v>行业标准</x:v>
      </x:c>
      <x:c r="P34" s="35" t="str">
        <x:v>现行版本（提交前建议再核验官方状态）</x:v>
      </x:c>
      <x:c r="Q34" s="35" t="str">
        <x:v>3.0.13</x:v>
      </x:c>
      <x:c r="R34" s="35" t="str">
        <x:v>3.0.13安全防护设施宜采用定型化、工具化设施，防护栏应为黑黄或红白相间的条纹标示，盖件应为黄或红色标示。64临边与洞口作业</x:v>
      </x:c>
      <x:c r="S34" s="41" t="n">
        <x:v>12</x:v>
      </x:c>
      <x:c r="T34" s="44" t="n">
        <x:v>6</x:v>
      </x:c>
    </x:row>
    <x:row r="35" ht="56" customHeight="1">
      <x:c r="A35" s="40" t="str">
        <x:v>LB-001</x:v>
      </x:c>
      <x:c r="B35" s="41" t="str">
        <x:v>启用</x:v>
      </x:c>
      <x:c r="C35" s="35" t="str">
        <x:v>临边作业</x:v>
      </x:c>
      <x:c r="D35" s="35" t="str">
        <x:v>临边防护</x:v>
      </x:c>
      <x:c r="E35" s="35" t="str">
        <x:v>存在临边且有人员坠落风险时</x:v>
      </x:c>
      <x:c r="F35" s="35" t="str">
        <x:v>坠落高度基准面2m及以上进行临边作业时，应在临空一侧设置防护栏杆，并应采用密目式安全立网或工具式栏板封闭</x:v>
      </x:c>
      <x:c r="G35" s="35" t="str">
        <x:v>2m</x:v>
      </x:c>
      <x:c r="H35" s="41" t="str">
        <x:v>应执行</x:v>
      </x:c>
      <x:c r="I35" s="35" t="str">
        <x:v>高处坠落；物体打击</x:v>
      </x:c>
      <x:c r="J35" s="41" t="str">
        <x:v>较大</x:v>
      </x:c>
      <x:c r="K35" s="35" t="str">
        <x:v>高处作业人员；安全员；施工员；班组长</x:v>
      </x:c>
      <x:c r="L35" s="35" t="str">
        <x:v>现场目视+尺寸/仪器测量</x:v>
      </x:c>
      <x:c r="M35" s="35" t="str">
        <x:v>建筑施工高处作业安全技术规范</x:v>
      </x:c>
      <x:c r="N35" s="35" t="str">
        <x:v>JGJ 80-2016</x:v>
      </x:c>
      <x:c r="O35" s="35" t="str">
        <x:v>行业标准</x:v>
      </x:c>
      <x:c r="P35" s="35" t="str">
        <x:v>现行版本（提交前建议再核验官方状态）</x:v>
      </x:c>
      <x:c r="Q35" s="35" t="str">
        <x:v>4.1.1</x:v>
      </x:c>
      <x:c r="R35" s="35" t="str">
        <x:v>4.1.1坠落高度基准面2m及以上进行临边作业时，应在临空一侧设置防护栏杆，并应采用密目式安全立网或工具式栏板封闭</x:v>
      </x:c>
      <x:c r="S35" s="41" t="n">
        <x:v>13</x:v>
      </x:c>
      <x:c r="T35" s="44" t="n">
        <x:v>7</x:v>
      </x:c>
    </x:row>
    <x:row r="36" ht="56" customHeight="1">
      <x:c r="A36" s="40" t="str">
        <x:v>LB-002</x:v>
      </x:c>
      <x:c r="B36" s="41" t="str">
        <x:v>启用</x:v>
      </x:c>
      <x:c r="C36" s="35" t="str">
        <x:v>临边作业</x:v>
      </x:c>
      <x:c r="D36" s="35" t="str">
        <x:v>临边防护</x:v>
      </x:c>
      <x:c r="E36" s="35" t="str">
        <x:v>存在临边且有人员坠落风险时</x:v>
      </x:c>
      <x:c r="F36" s="35" t="str">
        <x:v>施工的楼梯口、楼梯平台和梯段边，应安装防护栏杆</x:v>
      </x:c>
      <x:c r="G36" s="35" t="str">
        <x:v>无明确数值；按文本要求判断</x:v>
      </x:c>
      <x:c r="H36" s="41" t="str">
        <x:v>应执行</x:v>
      </x:c>
      <x:c r="I36" s="35" t="str">
        <x:v>高处坠落；物体打击</x:v>
      </x:c>
      <x:c r="J36" s="41" t="str">
        <x:v>较大</x:v>
      </x:c>
      <x:c r="K36" s="35" t="str">
        <x:v>高处作业人员；安全员；施工员；班组长</x:v>
      </x:c>
      <x:c r="L36" s="35" t="str">
        <x:v>现场目视或影像检查</x:v>
      </x:c>
      <x:c r="M36" s="35" t="str">
        <x:v>建筑施工高处作业安全技术规范</x:v>
      </x:c>
      <x:c r="N36" s="35" t="str">
        <x:v>JGJ 80-2016</x:v>
      </x:c>
      <x:c r="O36" s="35" t="str">
        <x:v>行业标准</x:v>
      </x:c>
      <x:c r="P36" s="35" t="str">
        <x:v>现行版本（提交前建议再核验官方状态）</x:v>
      </x:c>
      <x:c r="Q36" s="35" t="str">
        <x:v>4.1.2</x:v>
      </x:c>
      <x:c r="R36" s="35" t="str">
        <x:v>4.1.2施工的楼梯口、楼梯平台和梯段边，应安装防护栏杆；外设楼梯口、楼梯平台和梯段边还应采用密目式安全立网封闭</x:v>
      </x:c>
      <x:c r="S36" s="41" t="n">
        <x:v>13</x:v>
      </x:c>
      <x:c r="T36" s="44" t="n">
        <x:v>7</x:v>
      </x:c>
    </x:row>
    <x:row r="37" ht="56" customHeight="1">
      <x:c r="A37" s="40" t="str">
        <x:v>LB-003</x:v>
      </x:c>
      <x:c r="B37" s="41" t="str">
        <x:v>启用</x:v>
      </x:c>
      <x:c r="C37" s="35" t="str">
        <x:v>临边作业</x:v>
      </x:c>
      <x:c r="D37" s="35" t="str">
        <x:v>临边防护</x:v>
      </x:c>
      <x:c r="E37" s="35" t="str">
        <x:v>存在临边且有人员坠落风险时</x:v>
      </x:c>
      <x:c r="F37" s="35" t="str">
        <x:v>外设楼梯口、楼梯平台和梯段边还应采用密目式安全立网封闭</x:v>
      </x:c>
      <x:c r="G37" s="35" t="str">
        <x:v>无明确数值；按文本要求判断</x:v>
      </x:c>
      <x:c r="H37" s="41" t="str">
        <x:v>应执行</x:v>
      </x:c>
      <x:c r="I37" s="35" t="str">
        <x:v>高处坠落；物体打击</x:v>
      </x:c>
      <x:c r="J37" s="41" t="str">
        <x:v>较大</x:v>
      </x:c>
      <x:c r="K37" s="35" t="str">
        <x:v>高处作业人员；安全员；施工员；班组长</x:v>
      </x:c>
      <x:c r="L37" s="35" t="str">
        <x:v>现场目视或影像检查</x:v>
      </x:c>
      <x:c r="M37" s="35" t="str">
        <x:v>建筑施工高处作业安全技术规范</x:v>
      </x:c>
      <x:c r="N37" s="35" t="str">
        <x:v>JGJ 80-2016</x:v>
      </x:c>
      <x:c r="O37" s="35" t="str">
        <x:v>行业标准</x:v>
      </x:c>
      <x:c r="P37" s="35" t="str">
        <x:v>现行版本（提交前建议再核验官方状态）</x:v>
      </x:c>
      <x:c r="Q37" s="35" t="str">
        <x:v>4.1.2</x:v>
      </x:c>
      <x:c r="R37" s="35" t="str">
        <x:v>4.1.2施工的楼梯口、楼梯平台和梯段边，应安装防护栏杆；外设楼梯口、楼梯平台和梯段边还应采用密目式安全立网封闭</x:v>
      </x:c>
      <x:c r="S37" s="41" t="n">
        <x:v>13</x:v>
      </x:c>
      <x:c r="T37" s="44" t="n">
        <x:v>7</x:v>
      </x:c>
    </x:row>
    <x:row r="38" ht="56" customHeight="1">
      <x:c r="A38" s="40" t="str">
        <x:v>LB-004</x:v>
      </x:c>
      <x:c r="B38" s="41" t="str">
        <x:v>启用</x:v>
      </x:c>
      <x:c r="C38" s="35" t="str">
        <x:v>临边作业</x:v>
      </x:c>
      <x:c r="D38" s="35" t="str">
        <x:v>临边防护</x:v>
      </x:c>
      <x:c r="E38" s="35" t="str">
        <x:v>存在临边且有人员坠落风险时</x:v>
      </x:c>
      <x:c r="F38" s="35" t="str">
        <x:v>建筑物外围边沿处对没有设置外脚手架的工程，应设置防护栏杆</x:v>
      </x:c>
      <x:c r="G38" s="35" t="str">
        <x:v>无明确数值；按文本要求判断</x:v>
      </x:c>
      <x:c r="H38" s="41" t="str">
        <x:v>应执行</x:v>
      </x:c>
      <x:c r="I38" s="35" t="str">
        <x:v>高处坠落；物体打击</x:v>
      </x:c>
      <x:c r="J38" s="41" t="str">
        <x:v>较大</x:v>
      </x:c>
      <x:c r="K38" s="35" t="str">
        <x:v>高处作业人员；安全员；施工员；班组长</x:v>
      </x:c>
      <x:c r="L38" s="35" t="str">
        <x:v>现场目视或影像检查</x:v>
      </x:c>
      <x:c r="M38" s="35" t="str">
        <x:v>建筑施工高处作业安全技术规范</x:v>
      </x:c>
      <x:c r="N38" s="35" t="str">
        <x:v>JGJ 80-2016</x:v>
      </x:c>
      <x:c r="O38" s="35" t="str">
        <x:v>行业标准</x:v>
      </x:c>
      <x:c r="P38" s="35" t="str">
        <x:v>现行版本（提交前建议再核验官方状态）</x:v>
      </x:c>
      <x:c r="Q38" s="35" t="str">
        <x:v>4.1.3</x:v>
      </x:c>
      <x:c r="R38" s="35" t="str">
        <x:v>4.1.3建筑物外围边沿处对没有设置外脚手架的工程，应设置防护栏杆；对有外脚手架的工程，应采用密目式安全立网全封闭。密目式安全立网应设置在脚手架外侧立杆上，并应与脚手杆紧密连接。义X</x:v>
      </x:c>
      <x:c r="S38" s="41" t="n">
        <x:v>13</x:v>
      </x:c>
      <x:c r="T38" s="44" t="n">
        <x:v>7</x:v>
      </x:c>
    </x:row>
    <x:row r="39" ht="56" customHeight="1">
      <x:c r="A39" s="40" t="str">
        <x:v>LB-005</x:v>
      </x:c>
      <x:c r="B39" s="41" t="str">
        <x:v>启用</x:v>
      </x:c>
      <x:c r="C39" s="35" t="str">
        <x:v>临边作业</x:v>
      </x:c>
      <x:c r="D39" s="35" t="str">
        <x:v>临边防护</x:v>
      </x:c>
      <x:c r="E39" s="35" t="str">
        <x:v>对有外脚手架的工程</x:v>
      </x:c>
      <x:c r="F39" s="35" t="str">
        <x:v>对有外脚手架的工程，应采用密目式安全立网全封闭</x:v>
      </x:c>
      <x:c r="G39" s="35" t="str">
        <x:v>无明确数值；按文本要求判断</x:v>
      </x:c>
      <x:c r="H39" s="41" t="str">
        <x:v>应执行</x:v>
      </x:c>
      <x:c r="I39" s="35" t="str">
        <x:v>高处坠落；物体打击</x:v>
      </x:c>
      <x:c r="J39" s="41" t="str">
        <x:v>较大</x:v>
      </x:c>
      <x:c r="K39" s="35" t="str">
        <x:v>高处作业人员；安全员；施工员；班组长</x:v>
      </x:c>
      <x:c r="L39" s="35" t="str">
        <x:v>现场目视或影像检查</x:v>
      </x:c>
      <x:c r="M39" s="35" t="str">
        <x:v>建筑施工高处作业安全技术规范</x:v>
      </x:c>
      <x:c r="N39" s="35" t="str">
        <x:v>JGJ 80-2016</x:v>
      </x:c>
      <x:c r="O39" s="35" t="str">
        <x:v>行业标准</x:v>
      </x:c>
      <x:c r="P39" s="35" t="str">
        <x:v>现行版本（提交前建议再核验官方状态）</x:v>
      </x:c>
      <x:c r="Q39" s="35" t="str">
        <x:v>4.1.3</x:v>
      </x:c>
      <x:c r="R39" s="35" t="str">
        <x:v>4.1.3建筑物外围边沿处对没有设置外脚手架的工程，应设置防护栏杆；对有外脚手架的工程，应采用密目式安全立网全封闭。密目式安全立网应设置在脚手架外侧立杆上，并应与脚手杆紧密连接。义X</x:v>
      </x:c>
      <x:c r="S39" s="41" t="n">
        <x:v>13</x:v>
      </x:c>
      <x:c r="T39" s="44" t="n">
        <x:v>7</x:v>
      </x:c>
    </x:row>
    <x:row r="40" ht="56" customHeight="1">
      <x:c r="A40" s="40" t="str">
        <x:v>LB-006</x:v>
      </x:c>
      <x:c r="B40" s="41" t="str">
        <x:v>启用</x:v>
      </x:c>
      <x:c r="C40" s="35" t="str">
        <x:v>临边作业</x:v>
      </x:c>
      <x:c r="D40" s="35" t="str">
        <x:v>临边防护</x:v>
      </x:c>
      <x:c r="E40" s="35" t="str">
        <x:v>存在临边且有人员坠落风险时</x:v>
      </x:c>
      <x:c r="F40" s="35" t="str">
        <x:v>密目式安全立网应设置在脚手架外侧立杆上，并应与脚手杆紧密连接</x:v>
      </x:c>
      <x:c r="G40" s="35" t="str">
        <x:v>无明确数值；按文本要求判断</x:v>
      </x:c>
      <x:c r="H40" s="41" t="str">
        <x:v>应执行</x:v>
      </x:c>
      <x:c r="I40" s="35" t="str">
        <x:v>高处坠落；物体打击</x:v>
      </x:c>
      <x:c r="J40" s="41" t="str">
        <x:v>较大</x:v>
      </x:c>
      <x:c r="K40" s="35" t="str">
        <x:v>高处作业人员；安全员；施工员；班组长</x:v>
      </x:c>
      <x:c r="L40" s="35" t="str">
        <x:v>现场目视或影像检查</x:v>
      </x:c>
      <x:c r="M40" s="35" t="str">
        <x:v>建筑施工高处作业安全技术规范</x:v>
      </x:c>
      <x:c r="N40" s="35" t="str">
        <x:v>JGJ 80-2016</x:v>
      </x:c>
      <x:c r="O40" s="35" t="str">
        <x:v>行业标准</x:v>
      </x:c>
      <x:c r="P40" s="35" t="str">
        <x:v>现行版本（提交前建议再核验官方状态）</x:v>
      </x:c>
      <x:c r="Q40" s="35" t="str">
        <x:v>4.1.3</x:v>
      </x:c>
      <x:c r="R40" s="35" t="str">
        <x:v>4.1.3建筑物外围边沿处对没有设置外脚手架的工程，应设置防护栏杆；对有外脚手架的工程，应采用密目式安全立网全封闭。密目式安全立网应设置在脚手架外侧立杆上，并应与脚手杆紧密连接。义X</x:v>
      </x:c>
      <x:c r="S40" s="41" t="n">
        <x:v>13</x:v>
      </x:c>
      <x:c r="T40" s="44" t="n">
        <x:v>7</x:v>
      </x:c>
    </x:row>
    <x:row r="41" ht="56" customHeight="1">
      <x:c r="A41" s="40" t="str">
        <x:v>LB-007</x:v>
      </x:c>
      <x:c r="B41" s="41" t="str">
        <x:v>启用</x:v>
      </x:c>
      <x:c r="C41" s="35" t="str">
        <x:v>临边作业</x:v>
      </x:c>
      <x:c r="D41" s="35" t="str">
        <x:v>临边防护</x:v>
      </x:c>
      <x:c r="E41" s="35" t="str">
        <x:v>存在临边且有人员坠落风险时</x:v>
      </x:c>
      <x:c r="F41" s="35" t="str">
        <x:v>施工升降机、龙门架和井架物料提升机等在建筑物间设置的停层平台两侧边，应设置防护栏杆、挡脚板，并应采用密目式安全立网或工具式栏板封闭</x:v>
      </x:c>
      <x:c r="G41" s="35" t="str">
        <x:v>无明确数值；按文本要求判断</x:v>
      </x:c>
      <x:c r="H41" s="41" t="str">
        <x:v>应执行</x:v>
      </x:c>
      <x:c r="I41" s="35" t="str">
        <x:v>高处坠落；物体打击</x:v>
      </x:c>
      <x:c r="J41" s="41" t="str">
        <x:v>较大</x:v>
      </x:c>
      <x:c r="K41" s="35" t="str">
        <x:v>高处作业人员；安全员；施工员；班组长</x:v>
      </x:c>
      <x:c r="L41" s="35" t="str">
        <x:v>现场目视或影像检查</x:v>
      </x:c>
      <x:c r="M41" s="35" t="str">
        <x:v>建筑施工高处作业安全技术规范</x:v>
      </x:c>
      <x:c r="N41" s="35" t="str">
        <x:v>JGJ 80-2016</x:v>
      </x:c>
      <x:c r="O41" s="35" t="str">
        <x:v>行业标准</x:v>
      </x:c>
      <x:c r="P41" s="35" t="str">
        <x:v>现行版本（提交前建议再核验官方状态）</x:v>
      </x:c>
      <x:c r="Q41" s="35" t="str">
        <x:v>4.1.4</x:v>
      </x:c>
      <x:c r="R41" s="35" t="str">
        <x:v>4.1.4施工升降机、龙门架和井架物料提升机等在建筑物间设置的停层平台两侧边，应设置防护栏杆、挡脚板，并应采用密目式安全立网或工具式栏板封闭。二</x:v>
      </x:c>
      <x:c r="S41" s="41" t="n">
        <x:v>13</x:v>
      </x:c>
      <x:c r="T41" s="44" t="n">
        <x:v>7</x:v>
      </x:c>
    </x:row>
    <x:row r="42" ht="56" customHeight="1">
      <x:c r="A42" s="40" t="str">
        <x:v>LB-008</x:v>
      </x:c>
      <x:c r="B42" s="41" t="str">
        <x:v>启用</x:v>
      </x:c>
      <x:c r="C42" s="35" t="str">
        <x:v>临边作业</x:v>
      </x:c>
      <x:c r="D42" s="35" t="str">
        <x:v>临边防护</x:v>
      </x:c>
      <x:c r="E42" s="35" t="str">
        <x:v>存在临边且有人员坠落风险时</x:v>
      </x:c>
      <x:c r="F42" s="35" t="str">
        <x:v>停层平台口应设置高度不低于1.80m的楼层防护门，并应设置防外开装置</x:v>
      </x:c>
      <x:c r="G42" s="35" t="str">
        <x:v>1.80m</x:v>
      </x:c>
      <x:c r="H42" s="41" t="str">
        <x:v>应执行</x:v>
      </x:c>
      <x:c r="I42" s="35" t="str">
        <x:v>高处坠落；物体打击</x:v>
      </x:c>
      <x:c r="J42" s="41" t="str">
        <x:v>较大</x:v>
      </x:c>
      <x:c r="K42" s="35" t="str">
        <x:v>高处作业人员；安全员；施工员；班组长</x:v>
      </x:c>
      <x:c r="L42" s="35" t="str">
        <x:v>现场目视+尺寸/仪器测量</x:v>
      </x:c>
      <x:c r="M42" s="35" t="str">
        <x:v>建筑施工高处作业安全技术规范</x:v>
      </x:c>
      <x:c r="N42" s="35" t="str">
        <x:v>JGJ 80-2016</x:v>
      </x:c>
      <x:c r="O42" s="35" t="str">
        <x:v>行业标准</x:v>
      </x:c>
      <x:c r="P42" s="35" t="str">
        <x:v>现行版本（提交前建议再核验官方状态）</x:v>
      </x:c>
      <x:c r="Q42" s="35" t="str">
        <x:v>4.1.5</x:v>
      </x:c>
      <x:c r="R42" s="35" t="str">
        <x:v>4.1.5停层平台口应设置高度不低于1.80m的楼层防护门，并应设置防外开装置。井架物料提升机通道中间，应分别设置隔离设施</x:v>
      </x:c>
      <x:c r="S42" s="41" t="n">
        <x:v>13</x:v>
      </x:c>
      <x:c r="T42" s="44" t="n">
        <x:v>7</x:v>
      </x:c>
    </x:row>
    <x:row r="43" ht="56" customHeight="1">
      <x:c r="A43" s="40" t="str">
        <x:v>LB-009</x:v>
      </x:c>
      <x:c r="B43" s="41" t="str">
        <x:v>启用</x:v>
      </x:c>
      <x:c r="C43" s="35" t="str">
        <x:v>临边作业</x:v>
      </x:c>
      <x:c r="D43" s="35" t="str">
        <x:v>临边防护</x:v>
      </x:c>
      <x:c r="E43" s="35" t="str">
        <x:v>存在临边且有人员坠落风险时</x:v>
      </x:c>
      <x:c r="F43" s="35" t="str">
        <x:v>井架物料提升机通道中间，应分别设置隔离设施</x:v>
      </x:c>
      <x:c r="G43" s="35" t="str">
        <x:v>无明确数值；按文本要求判断</x:v>
      </x:c>
      <x:c r="H43" s="41" t="str">
        <x:v>应执行</x:v>
      </x:c>
      <x:c r="I43" s="35" t="str">
        <x:v>高处坠落；物体打击</x:v>
      </x:c>
      <x:c r="J43" s="41" t="str">
        <x:v>较大</x:v>
      </x:c>
      <x:c r="K43" s="35" t="str">
        <x:v>高处作业人员；安全员；施工员；班组长</x:v>
      </x:c>
      <x:c r="L43" s="35" t="str">
        <x:v>现场目视或影像检查</x:v>
      </x:c>
      <x:c r="M43" s="35" t="str">
        <x:v>建筑施工高处作业安全技术规范</x:v>
      </x:c>
      <x:c r="N43" s="35" t="str">
        <x:v>JGJ 80-2016</x:v>
      </x:c>
      <x:c r="O43" s="35" t="str">
        <x:v>行业标准</x:v>
      </x:c>
      <x:c r="P43" s="35" t="str">
        <x:v>现行版本（提交前建议再核验官方状态）</x:v>
      </x:c>
      <x:c r="Q43" s="35" t="str">
        <x:v>4.1.5</x:v>
      </x:c>
      <x:c r="R43" s="35" t="str">
        <x:v>4.1.5停层平台口应设置高度不低于1.80m的楼层防护门，并应设置防外开装置。井架物料提升机通道中间，应分别设置隔离设施</x:v>
      </x:c>
      <x:c r="S43" s="41" t="n">
        <x:v>13</x:v>
      </x:c>
      <x:c r="T43" s="44" t="n">
        <x:v>7</x:v>
      </x:c>
    </x:row>
    <x:row r="44" ht="56" customHeight="1">
      <x:c r="A44" s="40" t="str">
        <x:v>DK-001</x:v>
      </x:c>
      <x:c r="B44" s="41" t="str">
        <x:v>启用</x:v>
      </x:c>
      <x:c r="C44" s="35" t="str">
        <x:v>洞口作业</x:v>
      </x:c>
      <x:c r="D44" s="35" t="str">
        <x:v>洞口防护</x:v>
      </x:c>
      <x:c r="E44" s="35" t="str">
        <x:v>存在竖向或非竖向洞口时</x:v>
      </x:c>
      <x:c r="F44" s="35" t="str">
        <x:v>洞口作业时，应采取防坠落措施，并应符合下列规定</x:v>
      </x:c>
      <x:c r="G44" s="35" t="str">
        <x:v>无明确数值；按文本要求判断</x:v>
      </x:c>
      <x:c r="H44" s="41" t="str">
        <x:v>应执行</x:v>
      </x:c>
      <x:c r="I44" s="35" t="str">
        <x:v>高处坠落；物体打击</x:v>
      </x:c>
      <x:c r="J44" s="41" t="str">
        <x:v>较大</x:v>
      </x:c>
      <x:c r="K44" s="35" t="str">
        <x:v>高处作业人员；安全员；施工员；班组长</x:v>
      </x:c>
      <x:c r="L44" s="35" t="str">
        <x:v>现场检查+人工确认</x:v>
      </x:c>
      <x:c r="M44" s="35" t="str">
        <x:v>建筑施工高处作业安全技术规范</x:v>
      </x:c>
      <x:c r="N44" s="35" t="str">
        <x:v>JGJ 80-2016</x:v>
      </x:c>
      <x:c r="O44" s="35" t="str">
        <x:v>行业标准</x:v>
      </x:c>
      <x:c r="P44" s="35" t="str">
        <x:v>现行版本（提交前建议再核验官方状态）</x:v>
      </x:c>
      <x:c r="Q44" s="35" t="str">
        <x:v>4.2.1</x:v>
      </x:c>
      <x:c r="R44" s="35" t="str">
        <x:v>4.2.1洞口作业时，应采取防坠落措施，并应符合下列规定：1当竖向洞口短边边长小于500mm时，应采取封堵措施；当垂直洞口短边边长大于或等于500mm时，应在临空一侧设置高度不小于1.2m的防护栏杆，并应采用密目式安全立网或工具式栏板封闭，设置挡脚板；2当非竖向洞口短边边长为25mm～500mm时，应采用承载力满足使用要求的盖板覆盖，盖板四周搁置应均衡，且应防止盖板移位；3当非竖向洞口短边边长为500mm～1500mm时，应采用盖板覆盖或防护栏杆等措施，并应固定牢固；4当非竖向洞口短边边长大于或等于1500mm时，应在洞口作业侧设置高度不小于1.2m的防护栏杆，洞口应采用安全平网封闭</x:v>
      </x:c>
      <x:c r="S44" s="41" t="n">
        <x:v>13</x:v>
      </x:c>
      <x:c r="T44" s="44" t="n">
        <x:v>7</x:v>
      </x:c>
    </x:row>
    <x:row r="45" ht="56" customHeight="1">
      <x:c r="A45" s="40" t="str">
        <x:v>DK-002</x:v>
      </x:c>
      <x:c r="B45" s="41" t="str">
        <x:v>启用</x:v>
      </x:c>
      <x:c r="C45" s="35" t="str">
        <x:v>洞口作业</x:v>
      </x:c>
      <x:c r="D45" s="35" t="str">
        <x:v>洞口防护</x:v>
      </x:c>
      <x:c r="E45" s="35" t="str">
        <x:v>当竖向洞口短边边长小于500mm时</x:v>
      </x:c>
      <x:c r="F45" s="35" t="str">
        <x:v>当竖向洞口短边边长小于500mm时，应采取封堵措施</x:v>
      </x:c>
      <x:c r="G45" s="35" t="str">
        <x:v>500mm</x:v>
      </x:c>
      <x:c r="H45" s="41" t="str">
        <x:v>应执行</x:v>
      </x:c>
      <x:c r="I45" s="35" t="str">
        <x:v>高处坠落；物体打击</x:v>
      </x:c>
      <x:c r="J45" s="41" t="str">
        <x:v>较大</x:v>
      </x:c>
      <x:c r="K45" s="35" t="str">
        <x:v>高处作业人员；安全员；施工员；班组长</x:v>
      </x:c>
      <x:c r="L45" s="35" t="str">
        <x:v>现场目视+尺寸/仪器测量</x:v>
      </x:c>
      <x:c r="M45" s="35" t="str">
        <x:v>建筑施工高处作业安全技术规范</x:v>
      </x:c>
      <x:c r="N45" s="35" t="str">
        <x:v>JGJ 80-2016</x:v>
      </x:c>
      <x:c r="O45" s="35" t="str">
        <x:v>行业标准</x:v>
      </x:c>
      <x:c r="P45" s="35" t="str">
        <x:v>现行版本（提交前建议再核验官方状态）</x:v>
      </x:c>
      <x:c r="Q45" s="35" t="str">
        <x:v>4.2.1</x:v>
      </x:c>
      <x:c r="R45" s="35" t="str">
        <x:v>4.2.1洞口作业时，应采取防坠落措施，并应符合下列规定：1当竖向洞口短边边长小于500mm时，应采取封堵措施；当垂直洞口短边边长大于或等于500mm时，应在临空一侧设置高度不小于1.2m的防护栏杆，并应采用密目式安全立网或工具式栏板封闭，设置挡脚板；2当非竖向洞口短边边长为25mm～500mm时，应采用承载力满足使用要求的盖板覆盖，盖板四周搁置应均衡，且应防止盖板移位；3当非竖向洞口短边边长为500mm～1500mm时，应采用盖板覆盖或防护栏杆等措施，并应固定牢固；4当非竖向洞口短边边长大于或等于1500mm时，应在洞口作业侧设置高度不小于1.2m的防护栏杆，洞口应采用安全平网封闭</x:v>
      </x:c>
      <x:c r="S45" s="41" t="n">
        <x:v>13</x:v>
      </x:c>
      <x:c r="T45" s="44" t="n">
        <x:v>7</x:v>
      </x:c>
    </x:row>
    <x:row r="46" ht="56" customHeight="1">
      <x:c r="A46" s="40" t="str">
        <x:v>DK-003</x:v>
      </x:c>
      <x:c r="B46" s="41" t="str">
        <x:v>启用</x:v>
      </x:c>
      <x:c r="C46" s="35" t="str">
        <x:v>洞口作业</x:v>
      </x:c>
      <x:c r="D46" s="35" t="str">
        <x:v>洞口防护</x:v>
      </x:c>
      <x:c r="E46" s="35" t="str">
        <x:v>当垂直洞口短边边长大于或等于500mm时</x:v>
      </x:c>
      <x:c r="F46" s="35" t="str">
        <x:v>当垂直洞口短边边长大于或等于500mm时，应在临空一侧设置高度不小于1.2m的防护栏杆，并应采用密目式安全立网或工具式栏板封闭，设置挡脚板</x:v>
      </x:c>
      <x:c r="G46" s="35" t="str">
        <x:v>500mm；1.2m</x:v>
      </x:c>
      <x:c r="H46" s="41" t="str">
        <x:v>应执行</x:v>
      </x:c>
      <x:c r="I46" s="35" t="str">
        <x:v>高处坠落；物体打击</x:v>
      </x:c>
      <x:c r="J46" s="41" t="str">
        <x:v>较大</x:v>
      </x:c>
      <x:c r="K46" s="35" t="str">
        <x:v>高处作业人员；安全员；施工员；班组长</x:v>
      </x:c>
      <x:c r="L46" s="35" t="str">
        <x:v>现场目视+尺寸/仪器测量</x:v>
      </x:c>
      <x:c r="M46" s="35" t="str">
        <x:v>建筑施工高处作业安全技术规范</x:v>
      </x:c>
      <x:c r="N46" s="35" t="str">
        <x:v>JGJ 80-2016</x:v>
      </x:c>
      <x:c r="O46" s="35" t="str">
        <x:v>行业标准</x:v>
      </x:c>
      <x:c r="P46" s="35" t="str">
        <x:v>现行版本（提交前建议再核验官方状态）</x:v>
      </x:c>
      <x:c r="Q46" s="35" t="str">
        <x:v>4.2.1</x:v>
      </x:c>
      <x:c r="R46" s="35" t="str">
        <x:v>4.2.1洞口作业时，应采取防坠落措施，并应符合下列规定：1当竖向洞口短边边长小于500mm时，应采取封堵措施；当垂直洞口短边边长大于或等于500mm时，应在临空一侧设置高度不小于1.2m的防护栏杆，并应采用密目式安全立网或工具式栏板封闭，设置挡脚板；2当非竖向洞口短边边长为25mm～500mm时，应采用承载力满足使用要求的盖板覆盖，盖板四周搁置应均衡，且应防止盖板移位；3当非竖向洞口短边边长为500mm～1500mm时，应采用盖板覆盖或防护栏杆等措施，并应固定牢固；4当非竖向洞口短边边长大于或等于1500mm时，应在洞口作业侧设置高度不小于1.2m的防护栏杆，洞口应采用安全平网封闭</x:v>
      </x:c>
      <x:c r="S46" s="41" t="n">
        <x:v>13</x:v>
      </x:c>
      <x:c r="T46" s="44" t="n">
        <x:v>7</x:v>
      </x:c>
    </x:row>
    <x:row r="47" ht="56" customHeight="1">
      <x:c r="A47" s="40" t="str">
        <x:v>DK-004</x:v>
      </x:c>
      <x:c r="B47" s="41" t="str">
        <x:v>启用</x:v>
      </x:c>
      <x:c r="C47" s="35" t="str">
        <x:v>洞口作业</x:v>
      </x:c>
      <x:c r="D47" s="35" t="str">
        <x:v>洞口防护</x:v>
      </x:c>
      <x:c r="E47" s="35" t="str">
        <x:v>当非竖向洞口短边边长为25mm～500mm时</x:v>
      </x:c>
      <x:c r="F47" s="35" t="str">
        <x:v>当非竖向洞口短边边长为25mm～500mm时，应采用承载力满足使用要求的盖板覆盖，盖板四周搁置应均衡，且应防止盖板移位</x:v>
      </x:c>
      <x:c r="G47" s="35" t="str">
        <x:v>25mm；500mm</x:v>
      </x:c>
      <x:c r="H47" s="41" t="str">
        <x:v>应执行</x:v>
      </x:c>
      <x:c r="I47" s="35" t="str">
        <x:v>高处坠落；物体打击</x:v>
      </x:c>
      <x:c r="J47" s="41" t="str">
        <x:v>较大</x:v>
      </x:c>
      <x:c r="K47" s="35" t="str">
        <x:v>高处作业人员；安全员；施工员；班组长</x:v>
      </x:c>
      <x:c r="L47" s="35" t="str">
        <x:v>现场目视+尺寸/仪器测量</x:v>
      </x:c>
      <x:c r="M47" s="35" t="str">
        <x:v>建筑施工高处作业安全技术规范</x:v>
      </x:c>
      <x:c r="N47" s="35" t="str">
        <x:v>JGJ 80-2016</x:v>
      </x:c>
      <x:c r="O47" s="35" t="str">
        <x:v>行业标准</x:v>
      </x:c>
      <x:c r="P47" s="35" t="str">
        <x:v>现行版本（提交前建议再核验官方状态）</x:v>
      </x:c>
      <x:c r="Q47" s="35" t="str">
        <x:v>4.2.1</x:v>
      </x:c>
      <x:c r="R47" s="35" t="str">
        <x:v>4.2.1洞口作业时，应采取防坠落措施，并应符合下列规定：1当竖向洞口短边边长小于500mm时，应采取封堵措施；当垂直洞口短边边长大于或等于500mm时，应在临空一侧设置高度不小于1.2m的防护栏杆，并应采用密目式安全立网或工具式栏板封闭，设置挡脚板；2当非竖向洞口短边边长为25mm～500mm时，应采用承载力满足使用要求的盖板覆盖，盖板四周搁置应均衡，且应防止盖板移位；3当非竖向洞口短边边长为500mm～1500mm时，应采用盖板覆盖或防护栏杆等措施，并应固定牢固；4当非竖向洞口短边边长大于或等于1500mm时，应在洞口作业侧设置高度不小于1.2m的防护栏杆，洞口应采用安全平网封闭</x:v>
      </x:c>
      <x:c r="S47" s="41" t="n">
        <x:v>13</x:v>
      </x:c>
      <x:c r="T47" s="44" t="n">
        <x:v>7</x:v>
      </x:c>
    </x:row>
    <x:row r="48" ht="56" customHeight="1">
      <x:c r="A48" s="40" t="str">
        <x:v>DK-005</x:v>
      </x:c>
      <x:c r="B48" s="41" t="str">
        <x:v>启用</x:v>
      </x:c>
      <x:c r="C48" s="35" t="str">
        <x:v>洞口作业</x:v>
      </x:c>
      <x:c r="D48" s="35" t="str">
        <x:v>洞口防护</x:v>
      </x:c>
      <x:c r="E48" s="35" t="str">
        <x:v>当非竖向洞口短边边长为500mm～1500mm时</x:v>
      </x:c>
      <x:c r="F48" s="35" t="str">
        <x:v>当非竖向洞口短边边长为500mm～1500mm时，应采用盖板覆盖或防护栏杆等措施，并应固定牢固</x:v>
      </x:c>
      <x:c r="G48" s="35" t="str">
        <x:v>500mm；1500mm</x:v>
      </x:c>
      <x:c r="H48" s="41" t="str">
        <x:v>应执行</x:v>
      </x:c>
      <x:c r="I48" s="35" t="str">
        <x:v>高处坠落；物体打击</x:v>
      </x:c>
      <x:c r="J48" s="41" t="str">
        <x:v>较大</x:v>
      </x:c>
      <x:c r="K48" s="35" t="str">
        <x:v>高处作业人员；安全员；施工员；班组长</x:v>
      </x:c>
      <x:c r="L48" s="35" t="str">
        <x:v>现场目视+尺寸/仪器测量</x:v>
      </x:c>
      <x:c r="M48" s="35" t="str">
        <x:v>建筑施工高处作业安全技术规范</x:v>
      </x:c>
      <x:c r="N48" s="35" t="str">
        <x:v>JGJ 80-2016</x:v>
      </x:c>
      <x:c r="O48" s="35" t="str">
        <x:v>行业标准</x:v>
      </x:c>
      <x:c r="P48" s="35" t="str">
        <x:v>现行版本（提交前建议再核验官方状态）</x:v>
      </x:c>
      <x:c r="Q48" s="35" t="str">
        <x:v>4.2.1</x:v>
      </x:c>
      <x:c r="R48" s="35" t="str">
        <x:v>4.2.1洞口作业时，应采取防坠落措施，并应符合下列规定：1当竖向洞口短边边长小于500mm时，应采取封堵措施；当垂直洞口短边边长大于或等于500mm时，应在临空一侧设置高度不小于1.2m的防护栏杆，并应采用密目式安全立网或工具式栏板封闭，设置挡脚板；2当非竖向洞口短边边长为25mm～500mm时，应采用承载力满足使用要求的盖板覆盖，盖板四周搁置应均衡，且应防止盖板移位；3当非竖向洞口短边边长为500mm～1500mm时，应采用盖板覆盖或防护栏杆等措施，并应固定牢固；4当非竖向洞口短边边长大于或等于1500mm时，应在洞口作业侧设置高度不小于1.2m的防护栏杆，洞口应采用安全平网封闭</x:v>
      </x:c>
      <x:c r="S48" s="41" t="n">
        <x:v>13</x:v>
      </x:c>
      <x:c r="T48" s="44" t="n">
        <x:v>7</x:v>
      </x:c>
    </x:row>
    <x:row r="49" ht="56" customHeight="1">
      <x:c r="A49" s="40" t="str">
        <x:v>DK-006</x:v>
      </x:c>
      <x:c r="B49" s="41" t="str">
        <x:v>启用</x:v>
      </x:c>
      <x:c r="C49" s="35" t="str">
        <x:v>洞口作业</x:v>
      </x:c>
      <x:c r="D49" s="35" t="str">
        <x:v>洞口防护</x:v>
      </x:c>
      <x:c r="E49" s="35" t="str">
        <x:v>当非竖向洞口短边边长大于或等于1500mm时</x:v>
      </x:c>
      <x:c r="F49" s="35" t="str">
        <x:v>当非竖向洞口短边边长大于或等于1500mm时，应在洞口作业侧设置高度不小于1.2m的防护栏杆，洞口应采用安全平网封闭</x:v>
      </x:c>
      <x:c r="G49" s="35" t="str">
        <x:v>1500mm；1.2m</x:v>
      </x:c>
      <x:c r="H49" s="41" t="str">
        <x:v>应执行</x:v>
      </x:c>
      <x:c r="I49" s="35" t="str">
        <x:v>高处坠落；物体打击</x:v>
      </x:c>
      <x:c r="J49" s="41" t="str">
        <x:v>较大</x:v>
      </x:c>
      <x:c r="K49" s="35" t="str">
        <x:v>高处作业人员；安全员；施工员；班组长</x:v>
      </x:c>
      <x:c r="L49" s="35" t="str">
        <x:v>现场目视+尺寸/仪器测量</x:v>
      </x:c>
      <x:c r="M49" s="35" t="str">
        <x:v>建筑施工高处作业安全技术规范</x:v>
      </x:c>
      <x:c r="N49" s="35" t="str">
        <x:v>JGJ 80-2016</x:v>
      </x:c>
      <x:c r="O49" s="35" t="str">
        <x:v>行业标准</x:v>
      </x:c>
      <x:c r="P49" s="35" t="str">
        <x:v>现行版本（提交前建议再核验官方状态）</x:v>
      </x:c>
      <x:c r="Q49" s="35" t="str">
        <x:v>4.2.1</x:v>
      </x:c>
      <x:c r="R49" s="35" t="str">
        <x:v>4.2.1洞口作业时，应采取防坠落措施，并应符合下列规定：1当竖向洞口短边边长小于500mm时，应采取封堵措施；当垂直洞口短边边长大于或等于500mm时，应在临空一侧设置高度不小于1.2m的防护栏杆，并应采用密目式安全立网或工具式栏板封闭，设置挡脚板；2当非竖向洞口短边边长为25mm～500mm时，应采用承载力满足使用要求的盖板覆盖，盖板四周搁置应均衡，且应防止盖板移位；3当非竖向洞口短边边长为500mm～1500mm时，应采用盖板覆盖或防护栏杆等措施，并应固定牢固；4当非竖向洞口短边边长大于或等于1500mm时，应在洞口作业侧设置高度不小于1.2m的防护栏杆，洞口应采用安全平网封闭</x:v>
      </x:c>
      <x:c r="S49" s="41" t="n">
        <x:v>13</x:v>
      </x:c>
      <x:c r="T49" s="44" t="n">
        <x:v>7</x:v>
      </x:c>
    </x:row>
    <x:row r="50" ht="56" customHeight="1">
      <x:c r="A50" s="40" t="str">
        <x:v>DK-007</x:v>
      </x:c>
      <x:c r="B50" s="41" t="str">
        <x:v>启用</x:v>
      </x:c>
      <x:c r="C50" s="35" t="str">
        <x:v>洞口作业</x:v>
      </x:c>
      <x:c r="D50" s="35" t="str">
        <x:v>洞口防护</x:v>
      </x:c>
      <x:c r="E50" s="35" t="str">
        <x:v>存在竖向或非竖向洞口时</x:v>
      </x:c>
      <x:c r="F50" s="35" t="str">
        <x:v>电梯井口应设置防护门，其高度不应小于1.5m，防护门底端距地面高度不应大于50mm，并应设置挡脚板</x:v>
      </x:c>
      <x:c r="G50" s="35" t="str">
        <x:v>1.5m；50mm</x:v>
      </x:c>
      <x:c r="H50" s="41" t="str">
        <x:v>禁止/不得</x:v>
      </x:c>
      <x:c r="I50" s="35" t="str">
        <x:v>触电；高处坠落</x:v>
      </x:c>
      <x:c r="J50" s="41" t="str">
        <x:v>重大</x:v>
      </x:c>
      <x:c r="K50" s="35" t="str">
        <x:v>高处作业人员；安全员；施工员；班组长</x:v>
      </x:c>
      <x:c r="L50" s="35" t="str">
        <x:v>现场目视+尺寸/仪器测量</x:v>
      </x:c>
      <x:c r="M50" s="35" t="str">
        <x:v>建筑施工高处作业安全技术规范</x:v>
      </x:c>
      <x:c r="N50" s="35" t="str">
        <x:v>JGJ 80-2016</x:v>
      </x:c>
      <x:c r="O50" s="35" t="str">
        <x:v>行业标准</x:v>
      </x:c>
      <x:c r="P50" s="35" t="str">
        <x:v>现行版本（提交前建议再核验官方状态）</x:v>
      </x:c>
      <x:c r="Q50" s="35" t="str">
        <x:v>4.2.2</x:v>
      </x:c>
      <x:c r="R50" s="35" t="str">
        <x:v>4.2.2电梯井口应设置防护门，其高度不应小于1.5m，防护门底端距地面高度不应大于50mm，并应设置挡脚板</x:v>
      </x:c>
      <x:c r="S50" s="41" t="n">
        <x:v>14</x:v>
      </x:c>
      <x:c r="T50" s="44" t="n">
        <x:v>8</x:v>
      </x:c>
    </x:row>
    <x:row r="51" ht="56" customHeight="1">
      <x:c r="A51" s="40" t="str">
        <x:v>DK-008</x:v>
      </x:c>
      <x:c r="B51" s="41" t="str">
        <x:v>启用</x:v>
      </x:c>
      <x:c r="C51" s="35" t="str">
        <x:v>洞口作业</x:v>
      </x:c>
      <x:c r="D51" s="35" t="str">
        <x:v>洞口防护</x:v>
      </x:c>
      <x:c r="E51" s="35" t="str">
        <x:v>在电梯施工前</x:v>
      </x:c>
      <x:c r="F51" s="35" t="str">
        <x:v>在电梯施工前，电梯井道内应每隔2层且不大于10m加设一道安全平网</x:v>
      </x:c>
      <x:c r="G51" s="35" t="str">
        <x:v>2层；10m</x:v>
      </x:c>
      <x:c r="H51" s="41" t="str">
        <x:v>应执行</x:v>
      </x:c>
      <x:c r="I51" s="35" t="str">
        <x:v>触电；高处坠落</x:v>
      </x:c>
      <x:c r="J51" s="41" t="str">
        <x:v>较大</x:v>
      </x:c>
      <x:c r="K51" s="35" t="str">
        <x:v>高处作业人员；安全员；施工员；班组长</x:v>
      </x:c>
      <x:c r="L51" s="35" t="str">
        <x:v>现场目视+尺寸/仪器测量</x:v>
      </x:c>
      <x:c r="M51" s="35" t="str">
        <x:v>建筑施工高处作业安全技术规范</x:v>
      </x:c>
      <x:c r="N51" s="35" t="str">
        <x:v>JGJ 80-2016</x:v>
      </x:c>
      <x:c r="O51" s="35" t="str">
        <x:v>行业标准</x:v>
      </x:c>
      <x:c r="P51" s="35" t="str">
        <x:v>现行版本（提交前建议再核验官方状态）</x:v>
      </x:c>
      <x:c r="Q51" s="35" t="str">
        <x:v>4.2.3</x:v>
      </x:c>
      <x:c r="R51" s="35" t="str">
        <x:v>4.2.3在电梯施工前，电梯井道内应每隔2层且不大于10m加设一道安全平网。电梯井内的施工层上部，应设置隔离防护设施</x:v>
      </x:c>
      <x:c r="S51" s="41" t="n">
        <x:v>14</x:v>
      </x:c>
      <x:c r="T51" s="44" t="n">
        <x:v>8</x:v>
      </x:c>
    </x:row>
    <x:row r="52" ht="56" customHeight="1">
      <x:c r="A52" s="40" t="str">
        <x:v>DK-009</x:v>
      </x:c>
      <x:c r="B52" s="41" t="str">
        <x:v>启用</x:v>
      </x:c>
      <x:c r="C52" s="35" t="str">
        <x:v>洞口作业</x:v>
      </x:c>
      <x:c r="D52" s="35" t="str">
        <x:v>洞口防护</x:v>
      </x:c>
      <x:c r="E52" s="35" t="str">
        <x:v>存在竖向或非竖向洞口时</x:v>
      </x:c>
      <x:c r="F52" s="35" t="str">
        <x:v>电梯井内的施工层上部，应设置隔离防护设施</x:v>
      </x:c>
      <x:c r="G52" s="35" t="str">
        <x:v>无明确数值；按文本要求判断</x:v>
      </x:c>
      <x:c r="H52" s="41" t="str">
        <x:v>应执行</x:v>
      </x:c>
      <x:c r="I52" s="35" t="str">
        <x:v>触电；高处坠落</x:v>
      </x:c>
      <x:c r="J52" s="41" t="str">
        <x:v>较大</x:v>
      </x:c>
      <x:c r="K52" s="35" t="str">
        <x:v>高处作业人员；安全员；施工员；班组长</x:v>
      </x:c>
      <x:c r="L52" s="35" t="str">
        <x:v>现场目视或影像检查</x:v>
      </x:c>
      <x:c r="M52" s="35" t="str">
        <x:v>建筑施工高处作业安全技术规范</x:v>
      </x:c>
      <x:c r="N52" s="35" t="str">
        <x:v>JGJ 80-2016</x:v>
      </x:c>
      <x:c r="O52" s="35" t="str">
        <x:v>行业标准</x:v>
      </x:c>
      <x:c r="P52" s="35" t="str">
        <x:v>现行版本（提交前建议再核验官方状态）</x:v>
      </x:c>
      <x:c r="Q52" s="35" t="str">
        <x:v>4.2.3</x:v>
      </x:c>
      <x:c r="R52" s="35" t="str">
        <x:v>4.2.3在电梯施工前，电梯井道内应每隔2层且不大于10m加设一道安全平网。电梯井内的施工层上部，应设置隔离防护设施</x:v>
      </x:c>
      <x:c r="S52" s="41" t="n">
        <x:v>14</x:v>
      </x:c>
      <x:c r="T52" s="44" t="n">
        <x:v>8</x:v>
      </x:c>
    </x:row>
    <x:row r="53" ht="56" customHeight="1">
      <x:c r="A53" s="40" t="str">
        <x:v>DK-010</x:v>
      </x:c>
      <x:c r="B53" s="41" t="str">
        <x:v>启用</x:v>
      </x:c>
      <x:c r="C53" s="35" t="str">
        <x:v>洞口作业</x:v>
      </x:c>
      <x:c r="D53" s="35" t="str">
        <x:v>洞口防护</x:v>
      </x:c>
      <x:c r="E53" s="35" t="str">
        <x:v>存在竖向或非竖向洞口时</x:v>
      </x:c>
      <x:c r="F53" s="35" t="str">
        <x:v>洞口盖板应能承受不小于1kN的集中荷载和不小于2kN/m²的均布荷载，有特殊要求的盖板应另行设计</x:v>
      </x:c>
      <x:c r="G53" s="35" t="str">
        <x:v>1kN；2kN/m²</x:v>
      </x:c>
      <x:c r="H53" s="41" t="str">
        <x:v>应执行</x:v>
      </x:c>
      <x:c r="I53" s="35" t="str">
        <x:v>高处坠落；物体打击</x:v>
      </x:c>
      <x:c r="J53" s="41" t="str">
        <x:v>较大</x:v>
      </x:c>
      <x:c r="K53" s="35" t="str">
        <x:v>技术负责人；方案编制人员；项目负责人；安全员</x:v>
      </x:c>
      <x:c r="L53" s="35" t="str">
        <x:v>现场目视+尺寸/仪器测量</x:v>
      </x:c>
      <x:c r="M53" s="35" t="str">
        <x:v>建筑施工高处作业安全技术规范</x:v>
      </x:c>
      <x:c r="N53" s="35" t="str">
        <x:v>JGJ 80-2016</x:v>
      </x:c>
      <x:c r="O53" s="35" t="str">
        <x:v>行业标准</x:v>
      </x:c>
      <x:c r="P53" s="35" t="str">
        <x:v>现行版本（提交前建议再核验官方状态）</x:v>
      </x:c>
      <x:c r="Q53" s="35" t="str">
        <x:v>4.2.4</x:v>
      </x:c>
      <x:c r="R53" s="35" t="str">
        <x:v>4.2.4洞口盖板应能承受不小于1kN的集中荷载和不小于2kN/m²的均布荷载，有特殊要求的盖板应另行设计。&gt;</x:v>
      </x:c>
      <x:c r="S53" s="41" t="n">
        <x:v>14</x:v>
      </x:c>
      <x:c r="T53" s="44" t="n">
        <x:v>8</x:v>
      </x:c>
    </x:row>
    <x:row r="54" ht="56" customHeight="1">
      <x:c r="A54" s="40" t="str">
        <x:v>DK-011</x:v>
      </x:c>
      <x:c r="B54" s="41" t="str">
        <x:v>启用</x:v>
      </x:c>
      <x:c r="C54" s="35" t="str">
        <x:v>洞口作业</x:v>
      </x:c>
      <x:c r="D54" s="35" t="str">
        <x:v>洞口防护</x:v>
      </x:c>
      <x:c r="E54" s="35" t="str">
        <x:v>存在竖向或非竖向洞口时</x:v>
      </x:c>
      <x:c r="F54" s="35" t="str">
        <x:v>墙面等处落地的竖向洞口、窗台高度低于800mm的竖向洞口及框架结构在浇筑完混凝土未砌筑墙体时的洞口，应按临边防护要求设置防护栏杆</x:v>
      </x:c>
      <x:c r="G54" s="35" t="str">
        <x:v>800mm</x:v>
      </x:c>
      <x:c r="H54" s="41" t="str">
        <x:v>应执行</x:v>
      </x:c>
      <x:c r="I54" s="35" t="str">
        <x:v>高处坠落；物体打击</x:v>
      </x:c>
      <x:c r="J54" s="41" t="str">
        <x:v>较大</x:v>
      </x:c>
      <x:c r="K54" s="35" t="str">
        <x:v>高处作业人员；安全员；施工员；班组长</x:v>
      </x:c>
      <x:c r="L54" s="35" t="str">
        <x:v>现场目视+尺寸/仪器测量</x:v>
      </x:c>
      <x:c r="M54" s="35" t="str">
        <x:v>建筑施工高处作业安全技术规范</x:v>
      </x:c>
      <x:c r="N54" s="35" t="str">
        <x:v>JGJ 80-2016</x:v>
      </x:c>
      <x:c r="O54" s="35" t="str">
        <x:v>行业标准</x:v>
      </x:c>
      <x:c r="P54" s="35" t="str">
        <x:v>现行版本（提交前建议再核验官方状态）</x:v>
      </x:c>
      <x:c r="Q54" s="35" t="str">
        <x:v>4.2.5</x:v>
      </x:c>
      <x:c r="R54" s="35" t="str">
        <x:v>4.2.5墙面等处落地的竖向洞口、窗台高度低于800mm的竖向洞口及框架结构在浇筑完混凝土未砌筑墙体时的洞口，应按临边防护要求设置防护栏杆</x:v>
      </x:c>
      <x:c r="S54" s="41" t="n">
        <x:v>14</x:v>
      </x:c>
      <x:c r="T54" s="44" t="n">
        <x:v>8</x:v>
      </x:c>
    </x:row>
    <x:row r="55" ht="56" customHeight="1">
      <x:c r="A55" s="40" t="str">
        <x:v>HL-001</x:v>
      </x:c>
      <x:c r="B55" s="41" t="str">
        <x:v>启用</x:v>
      </x:c>
      <x:c r="C55" s="35" t="str">
        <x:v>防护栏杆</x:v>
      </x:c>
      <x:c r="D55" s="35" t="str">
        <x:v>栏杆设置与验收</x:v>
      </x:c>
      <x:c r="E55" s="35" t="str">
        <x:v>设置或验收临边防护栏杆时</x:v>
      </x:c>
      <x:c r="F55" s="35" t="str">
        <x:v>临边作业的防护栏杆应由横杆、立杆及挡脚板组成，防护栏杆应符合下列规定</x:v>
      </x:c>
      <x:c r="G55" s="35" t="str">
        <x:v>无明确数值；按文本要求判断</x:v>
      </x:c>
      <x:c r="H55" s="41" t="str">
        <x:v>应执行</x:v>
      </x:c>
      <x:c r="I55" s="35" t="str">
        <x:v>高处坠落；物体打击</x:v>
      </x:c>
      <x:c r="J55" s="41" t="str">
        <x:v>较大</x:v>
      </x:c>
      <x:c r="K55" s="35" t="str">
        <x:v>高处作业人员；安全员；施工员；班组长</x:v>
      </x:c>
      <x:c r="L55" s="35" t="str">
        <x:v>现场目视或影像检查</x:v>
      </x:c>
      <x:c r="M55" s="35" t="str">
        <x:v>建筑施工高处作业安全技术规范</x:v>
      </x:c>
      <x:c r="N55" s="35" t="str">
        <x:v>JGJ 80-2016</x:v>
      </x:c>
      <x:c r="O55" s="35" t="str">
        <x:v>行业标准</x:v>
      </x:c>
      <x:c r="P55" s="35" t="str">
        <x:v>现行版本（提交前建议再核验官方状态）</x:v>
      </x:c>
      <x:c r="Q55" s="35" t="str">
        <x:v>4.3.1</x:v>
      </x:c>
      <x:c r="R55" s="35" t="str">
        <x:v>4.3.1临边作业的防护栏杆应由横杆、立杆及挡脚板组成，防护栏杆应符合下列规定：1防护栏杆应为两道横杆，上杆距地面高度应为1.2m，下杆应在上杆和挡脚板中间设置；2当防护栏杆高度大于1.2m时，应增设横杆，横杆间距不应大于600mm；3防护栏杆立杆间距不应大于2m；挡脚板高度不应小于180mm</x:v>
      </x:c>
      <x:c r="S55" s="41" t="n">
        <x:v>14</x:v>
      </x:c>
      <x:c r="T55" s="44" t="n">
        <x:v>8</x:v>
      </x:c>
    </x:row>
    <x:row r="56" ht="56" customHeight="1">
      <x:c r="A56" s="40" t="str">
        <x:v>HL-002</x:v>
      </x:c>
      <x:c r="B56" s="41" t="str">
        <x:v>启用</x:v>
      </x:c>
      <x:c r="C56" s="35" t="str">
        <x:v>防护栏杆</x:v>
      </x:c>
      <x:c r="D56" s="35" t="str">
        <x:v>栏杆设置与验收</x:v>
      </x:c>
      <x:c r="E56" s="35" t="str">
        <x:v>设置或验收临边防护栏杆时</x:v>
      </x:c>
      <x:c r="F56" s="35" t="str">
        <x:v>防护栏杆应为两道横杆，上杆距地面高度应为1.2m，下杆应在上杆和挡脚板中间设置</x:v>
      </x:c>
      <x:c r="G56" s="35" t="str">
        <x:v>1.2m</x:v>
      </x:c>
      <x:c r="H56" s="41" t="str">
        <x:v>应执行</x:v>
      </x:c>
      <x:c r="I56" s="35" t="str">
        <x:v>高处坠落；物体打击</x:v>
      </x:c>
      <x:c r="J56" s="41" t="str">
        <x:v>较大</x:v>
      </x:c>
      <x:c r="K56" s="35" t="str">
        <x:v>高处作业人员；安全员；施工员；班组长</x:v>
      </x:c>
      <x:c r="L56" s="35" t="str">
        <x:v>现场目视+尺寸/仪器测量</x:v>
      </x:c>
      <x:c r="M56" s="35" t="str">
        <x:v>建筑施工高处作业安全技术规范</x:v>
      </x:c>
      <x:c r="N56" s="35" t="str">
        <x:v>JGJ 80-2016</x:v>
      </x:c>
      <x:c r="O56" s="35" t="str">
        <x:v>行业标准</x:v>
      </x:c>
      <x:c r="P56" s="35" t="str">
        <x:v>现行版本（提交前建议再核验官方状态）</x:v>
      </x:c>
      <x:c r="Q56" s="35" t="str">
        <x:v>4.3.1</x:v>
      </x:c>
      <x:c r="R56" s="35" t="str">
        <x:v>4.3.1临边作业的防护栏杆应由横杆、立杆及挡脚板组成，防护栏杆应符合下列规定：1防护栏杆应为两道横杆，上杆距地面高度应为1.2m，下杆应在上杆和挡脚板中间设置；2当防护栏杆高度大于1.2m时，应增设横杆，横杆间距不应大于600mm；3防护栏杆立杆间距不应大于2m；挡脚板高度不应小于180mm</x:v>
      </x:c>
      <x:c r="S56" s="41" t="n">
        <x:v>14</x:v>
      </x:c>
      <x:c r="T56" s="44" t="n">
        <x:v>8</x:v>
      </x:c>
    </x:row>
    <x:row r="57" ht="56" customHeight="1">
      <x:c r="A57" s="40" t="str">
        <x:v>HL-003</x:v>
      </x:c>
      <x:c r="B57" s="41" t="str">
        <x:v>启用</x:v>
      </x:c>
      <x:c r="C57" s="35" t="str">
        <x:v>防护栏杆</x:v>
      </x:c>
      <x:c r="D57" s="35" t="str">
        <x:v>栏杆设置与验收</x:v>
      </x:c>
      <x:c r="E57" s="35" t="str">
        <x:v>当防护栏杆高度大于1.2m时</x:v>
      </x:c>
      <x:c r="F57" s="35" t="str">
        <x:v>当防护栏杆高度大于1.2m时，应增设横杆，横杆间距不应大于600mm</x:v>
      </x:c>
      <x:c r="G57" s="35" t="str">
        <x:v>1.2m；600mm</x:v>
      </x:c>
      <x:c r="H57" s="41" t="str">
        <x:v>禁止/不得</x:v>
      </x:c>
      <x:c r="I57" s="35" t="str">
        <x:v>高处坠落；物体打击</x:v>
      </x:c>
      <x:c r="J57" s="41" t="str">
        <x:v>重大</x:v>
      </x:c>
      <x:c r="K57" s="35" t="str">
        <x:v>高处作业人员；安全员；施工员；班组长</x:v>
      </x:c>
      <x:c r="L57" s="35" t="str">
        <x:v>现场目视+尺寸/仪器测量</x:v>
      </x:c>
      <x:c r="M57" s="35" t="str">
        <x:v>建筑施工高处作业安全技术规范</x:v>
      </x:c>
      <x:c r="N57" s="35" t="str">
        <x:v>JGJ 80-2016</x:v>
      </x:c>
      <x:c r="O57" s="35" t="str">
        <x:v>行业标准</x:v>
      </x:c>
      <x:c r="P57" s="35" t="str">
        <x:v>现行版本（提交前建议再核验官方状态）</x:v>
      </x:c>
      <x:c r="Q57" s="35" t="str">
        <x:v>4.3.1</x:v>
      </x:c>
      <x:c r="R57" s="35" t="str">
        <x:v>4.3.1临边作业的防护栏杆应由横杆、立杆及挡脚板组成，防护栏杆应符合下列规定：1防护栏杆应为两道横杆，上杆距地面高度应为1.2m，下杆应在上杆和挡脚板中间设置；2当防护栏杆高度大于1.2m时，应增设横杆，横杆间距不应大于600mm；3防护栏杆立杆间距不应大于2m；挡脚板高度不应小于180mm</x:v>
      </x:c>
      <x:c r="S57" s="41" t="n">
        <x:v>14</x:v>
      </x:c>
      <x:c r="T57" s="44" t="n">
        <x:v>8</x:v>
      </x:c>
    </x:row>
    <x:row r="58" ht="56" customHeight="1">
      <x:c r="A58" s="40" t="str">
        <x:v>HL-004</x:v>
      </x:c>
      <x:c r="B58" s="41" t="str">
        <x:v>启用</x:v>
      </x:c>
      <x:c r="C58" s="35" t="str">
        <x:v>防护栏杆</x:v>
      </x:c>
      <x:c r="D58" s="35" t="str">
        <x:v>栏杆设置与验收</x:v>
      </x:c>
      <x:c r="E58" s="35" t="str">
        <x:v>设置或验收临边防护栏杆时</x:v>
      </x:c>
      <x:c r="F58" s="35" t="str">
        <x:v>防护栏杆立杆间距不应大于2m</x:v>
      </x:c>
      <x:c r="G58" s="35" t="str">
        <x:v>2m</x:v>
      </x:c>
      <x:c r="H58" s="41" t="str">
        <x:v>禁止/不得</x:v>
      </x:c>
      <x:c r="I58" s="35" t="str">
        <x:v>高处坠落；物体打击</x:v>
      </x:c>
      <x:c r="J58" s="41" t="str">
        <x:v>重大</x:v>
      </x:c>
      <x:c r="K58" s="35" t="str">
        <x:v>高处作业人员；安全员；施工员；班组长</x:v>
      </x:c>
      <x:c r="L58" s="35" t="str">
        <x:v>现场目视+尺寸/仪器测量</x:v>
      </x:c>
      <x:c r="M58" s="35" t="str">
        <x:v>建筑施工高处作业安全技术规范</x:v>
      </x:c>
      <x:c r="N58" s="35" t="str">
        <x:v>JGJ 80-2016</x:v>
      </x:c>
      <x:c r="O58" s="35" t="str">
        <x:v>行业标准</x:v>
      </x:c>
      <x:c r="P58" s="35" t="str">
        <x:v>现行版本（提交前建议再核验官方状态）</x:v>
      </x:c>
      <x:c r="Q58" s="35" t="str">
        <x:v>4.3.1</x:v>
      </x:c>
      <x:c r="R58" s="35" t="str">
        <x:v>4.3.1临边作业的防护栏杆应由横杆、立杆及挡脚板组成，防护栏杆应符合下列规定：1防护栏杆应为两道横杆，上杆距地面高度应为1.2m，下杆应在上杆和挡脚板中间设置；2当防护栏杆高度大于1.2m时，应增设横杆，横杆间距不应大于600mm；3防护栏杆立杆间距不应大于2m；挡脚板高度不应小于180mm</x:v>
      </x:c>
      <x:c r="S58" s="41" t="n">
        <x:v>14</x:v>
      </x:c>
      <x:c r="T58" s="44" t="n">
        <x:v>8</x:v>
      </x:c>
    </x:row>
    <x:row r="59" ht="56" customHeight="1">
      <x:c r="A59" s="40" t="str">
        <x:v>HL-005</x:v>
      </x:c>
      <x:c r="B59" s="41" t="str">
        <x:v>启用</x:v>
      </x:c>
      <x:c r="C59" s="35" t="str">
        <x:v>防护栏杆</x:v>
      </x:c>
      <x:c r="D59" s="35" t="str">
        <x:v>栏杆设置与验收</x:v>
      </x:c>
      <x:c r="E59" s="35" t="str">
        <x:v>设置或验收临边防护栏杆时</x:v>
      </x:c>
      <x:c r="F59" s="35" t="str">
        <x:v>挡脚板高度不应小于180mm</x:v>
      </x:c>
      <x:c r="G59" s="35" t="str">
        <x:v>180mm</x:v>
      </x:c>
      <x:c r="H59" s="41" t="str">
        <x:v>禁止/不得</x:v>
      </x:c>
      <x:c r="I59" s="35" t="str">
        <x:v>高处坠落；物体打击</x:v>
      </x:c>
      <x:c r="J59" s="41" t="str">
        <x:v>重大</x:v>
      </x:c>
      <x:c r="K59" s="35" t="str">
        <x:v>高处作业人员；安全员；施工员；班组长</x:v>
      </x:c>
      <x:c r="L59" s="35" t="str">
        <x:v>现场目视+尺寸/仪器测量</x:v>
      </x:c>
      <x:c r="M59" s="35" t="str">
        <x:v>建筑施工高处作业安全技术规范</x:v>
      </x:c>
      <x:c r="N59" s="35" t="str">
        <x:v>JGJ 80-2016</x:v>
      </x:c>
      <x:c r="O59" s="35" t="str">
        <x:v>行业标准</x:v>
      </x:c>
      <x:c r="P59" s="35" t="str">
        <x:v>现行版本（提交前建议再核验官方状态）</x:v>
      </x:c>
      <x:c r="Q59" s="35" t="str">
        <x:v>4.3.1</x:v>
      </x:c>
      <x:c r="R59" s="35" t="str">
        <x:v>4.3.1临边作业的防护栏杆应由横杆、立杆及挡脚板组成，防护栏杆应符合下列规定：1防护栏杆应为两道横杆，上杆距地面高度应为1.2m，下杆应在上杆和挡脚板中间设置；2当防护栏杆高度大于1.2m时，应增设横杆，横杆间距不应大于600mm；3防护栏杆立杆间距不应大于2m；挡脚板高度不应小于180mm</x:v>
      </x:c>
      <x:c r="S59" s="41" t="n">
        <x:v>14</x:v>
      </x:c>
      <x:c r="T59" s="44" t="n">
        <x:v>8</x:v>
      </x:c>
    </x:row>
    <x:row r="60" ht="56" customHeight="1">
      <x:c r="A60" s="40" t="str">
        <x:v>HL-006</x:v>
      </x:c>
      <x:c r="B60" s="41" t="str">
        <x:v>启用</x:v>
      </x:c>
      <x:c r="C60" s="35" t="str">
        <x:v>防护栏杆</x:v>
      </x:c>
      <x:c r="D60" s="35" t="str">
        <x:v>栏杆设置与验收</x:v>
      </x:c>
      <x:c r="E60" s="35" t="str">
        <x:v>当在土体上固定时</x:v>
      </x:c>
      <x:c r="F60" s="35" t="str">
        <x:v>当在土体上固定时，应采用预埋或打入方式固定</x:v>
      </x:c>
      <x:c r="G60" s="35" t="str">
        <x:v>无明确数值；按文本要求判断</x:v>
      </x:c>
      <x:c r="H60" s="41" t="str">
        <x:v>应执行</x:v>
      </x:c>
      <x:c r="I60" s="35" t="str">
        <x:v>高处坠落；物体打击</x:v>
      </x:c>
      <x:c r="J60" s="41" t="str">
        <x:v>较大</x:v>
      </x:c>
      <x:c r="K60" s="35" t="str">
        <x:v>高处作业人员；安全员；施工员；班组长</x:v>
      </x:c>
      <x:c r="L60" s="35" t="str">
        <x:v>现场检查+人工确认</x:v>
      </x:c>
      <x:c r="M60" s="35" t="str">
        <x:v>建筑施工高处作业安全技术规范</x:v>
      </x:c>
      <x:c r="N60" s="35" t="str">
        <x:v>JGJ 80-2016</x:v>
      </x:c>
      <x:c r="O60" s="35" t="str">
        <x:v>行业标准</x:v>
      </x:c>
      <x:c r="P60" s="35" t="str">
        <x:v>现行版本（提交前建议再核验官方状态）</x:v>
      </x:c>
      <x:c r="Q60" s="35" t="str">
        <x:v>4.3.2</x:v>
      </x:c>
      <x:c r="R60" s="35" t="str">
        <x:v>4.3.2防护栏杆立杆底端应固定牢固，并应符合下列规定：1当在土体上固定时，应采用预埋或打入方式固定；2当在混凝土楼面、地面、屋面或墙面固定时，应将预埋件与立杆连接牢固；83当在砌体上固定时，应预先砌入相应规格含有预埋件的混凝土块，预埋件应与立杆连接牢固</x:v>
      </x:c>
      <x:c r="S60" s="41" t="n">
        <x:v>14</x:v>
      </x:c>
      <x:c r="T60" s="44" t="n">
        <x:v>8</x:v>
      </x:c>
    </x:row>
    <x:row r="61" ht="56" customHeight="1">
      <x:c r="A61" s="40" t="str">
        <x:v>HL-007</x:v>
      </x:c>
      <x:c r="B61" s="41" t="str">
        <x:v>启用</x:v>
      </x:c>
      <x:c r="C61" s="35" t="str">
        <x:v>防护栏杆</x:v>
      </x:c>
      <x:c r="D61" s="35" t="str">
        <x:v>栏杆设置与验收</x:v>
      </x:c>
      <x:c r="E61" s="35" t="str">
        <x:v>当在混凝土楼面、地面、屋面或墙面固定时</x:v>
      </x:c>
      <x:c r="F61" s="35" t="str">
        <x:v>当在混凝土楼面、地面、屋面或墙面固定时，应将预埋件与立杆连接牢固</x:v>
      </x:c>
      <x:c r="G61" s="35" t="str">
        <x:v>无明确数值；按文本要求判断</x:v>
      </x:c>
      <x:c r="H61" s="41" t="str">
        <x:v>应执行</x:v>
      </x:c>
      <x:c r="I61" s="35" t="str">
        <x:v>高处坠落；物体打击</x:v>
      </x:c>
      <x:c r="J61" s="41" t="str">
        <x:v>较大</x:v>
      </x:c>
      <x:c r="K61" s="35" t="str">
        <x:v>高处作业人员；安全员；施工员；班组长</x:v>
      </x:c>
      <x:c r="L61" s="35" t="str">
        <x:v>现场检查+人工确认</x:v>
      </x:c>
      <x:c r="M61" s="35" t="str">
        <x:v>建筑施工高处作业安全技术规范</x:v>
      </x:c>
      <x:c r="N61" s="35" t="str">
        <x:v>JGJ 80-2016</x:v>
      </x:c>
      <x:c r="O61" s="35" t="str">
        <x:v>行业标准</x:v>
      </x:c>
      <x:c r="P61" s="35" t="str">
        <x:v>现行版本（提交前建议再核验官方状态）</x:v>
      </x:c>
      <x:c r="Q61" s="35" t="str">
        <x:v>4.3.2</x:v>
      </x:c>
      <x:c r="R61" s="35" t="str">
        <x:v>4.3.2防护栏杆立杆底端应固定牢固，并应符合下列规定：1当在土体上固定时，应采用预埋或打入方式固定；2当在混凝土楼面、地面、屋面或墙面固定时，应将预埋件与立杆连接牢固；83当在砌体上固定时，应预先砌入相应规格含有预埋件的混凝土块，预埋件应与立杆连接牢固</x:v>
      </x:c>
      <x:c r="S61" s="41" t="n">
        <x:v>14</x:v>
      </x:c>
      <x:c r="T61" s="44" t="n">
        <x:v>8</x:v>
      </x:c>
    </x:row>
    <x:row r="62" ht="56" customHeight="1">
      <x:c r="A62" s="40" t="str">
        <x:v>HL-008</x:v>
      </x:c>
      <x:c r="B62" s="41" t="str">
        <x:v>启用</x:v>
      </x:c>
      <x:c r="C62" s="35" t="str">
        <x:v>防护栏杆</x:v>
      </x:c>
      <x:c r="D62" s="35" t="str">
        <x:v>栏杆设置与验收</x:v>
      </x:c>
      <x:c r="E62" s="35" t="str">
        <x:v>当在砌体上固定时</x:v>
      </x:c>
      <x:c r="F62" s="35" t="str">
        <x:v>当在砌体上固定时，应预先砌入相应规格含有预埋件的混凝土块，预埋件应与立杆连接牢固</x:v>
      </x:c>
      <x:c r="G62" s="35" t="str">
        <x:v>无明确数值；按文本要求判断</x:v>
      </x:c>
      <x:c r="H62" s="41" t="str">
        <x:v>应执行</x:v>
      </x:c>
      <x:c r="I62" s="35" t="str">
        <x:v>高处坠落；物体打击</x:v>
      </x:c>
      <x:c r="J62" s="41" t="str">
        <x:v>较大</x:v>
      </x:c>
      <x:c r="K62" s="35" t="str">
        <x:v>高处作业人员；安全员；施工员；班组长</x:v>
      </x:c>
      <x:c r="L62" s="35" t="str">
        <x:v>现场检查+人工确认</x:v>
      </x:c>
      <x:c r="M62" s="35" t="str">
        <x:v>建筑施工高处作业安全技术规范</x:v>
      </x:c>
      <x:c r="N62" s="35" t="str">
        <x:v>JGJ 80-2016</x:v>
      </x:c>
      <x:c r="O62" s="35" t="str">
        <x:v>行业标准</x:v>
      </x:c>
      <x:c r="P62" s="35" t="str">
        <x:v>现行版本（提交前建议再核验官方状态）</x:v>
      </x:c>
      <x:c r="Q62" s="35" t="str">
        <x:v>4.3.2</x:v>
      </x:c>
      <x:c r="R62" s="35" t="str">
        <x:v>4.3.2防护栏杆立杆底端应固定牢固，并应符合下列规定：1当在土体上固定时，应采用预埋或打入方式固定；2当在混凝土楼面、地面、屋面或墙面固定时，应将预埋件与立杆连接牢固；83当在砌体上固定时，应预先砌入相应规格含有预埋件的混凝土块，预埋件应与立杆连接牢固</x:v>
      </x:c>
      <x:c r="S62" s="41" t="n">
        <x:v>14</x:v>
      </x:c>
      <x:c r="T62" s="44" t="n">
        <x:v>8</x:v>
      </x:c>
    </x:row>
    <x:row r="63" ht="56" customHeight="1">
      <x:c r="A63" s="40" t="str">
        <x:v>HL-009</x:v>
      </x:c>
      <x:c r="B63" s="41" t="str">
        <x:v>启用</x:v>
      </x:c>
      <x:c r="C63" s="35" t="str">
        <x:v>防护栏杆</x:v>
      </x:c>
      <x:c r="D63" s="35" t="str">
        <x:v>栏杆设置与验收</x:v>
      </x:c>
      <x:c r="E63" s="35" t="str">
        <x:v>当采用钢管作为防护栏杆杆件时</x:v>
      </x:c>
      <x:c r="F63" s="35" t="str">
        <x:v>当采用钢管作为防护栏杆杆件时，横杆及栏杆立杆应采用脚手钢管，并应采用扣件、焊接、定型套管等方式进行连接固定</x:v>
      </x:c>
      <x:c r="G63" s="35" t="str">
        <x:v>无明确数值；按文本要求判断</x:v>
      </x:c>
      <x:c r="H63" s="41" t="str">
        <x:v>应执行</x:v>
      </x:c>
      <x:c r="I63" s="35" t="str">
        <x:v>火灾；灼伤；高处坠落</x:v>
      </x:c>
      <x:c r="J63" s="41" t="str">
        <x:v>较大</x:v>
      </x:c>
      <x:c r="K63" s="35" t="str">
        <x:v>高处作业人员；安全员；施工员；班组长</x:v>
      </x:c>
      <x:c r="L63" s="35" t="str">
        <x:v>现场目视或影像检查</x:v>
      </x:c>
      <x:c r="M63" s="35" t="str">
        <x:v>建筑施工高处作业安全技术规范</x:v>
      </x:c>
      <x:c r="N63" s="35" t="str">
        <x:v>JGJ 80-2016</x:v>
      </x:c>
      <x:c r="O63" s="35" t="str">
        <x:v>行业标准</x:v>
      </x:c>
      <x:c r="P63" s="35" t="str">
        <x:v>现行版本（提交前建议再核验官方状态）</x:v>
      </x:c>
      <x:c r="Q63" s="35" t="str">
        <x:v>4.3.3</x:v>
      </x:c>
      <x:c r="R63" s="35" t="str">
        <x:v>4.3.3防护栏杆杆件的规格及连接，应符合下列规定：1当采用钢管作为防护栏杆杆件时，横杆及栏杆立杆应采用脚手钢管，并应采用扣件、焊接、定型套管等方式进行连接固定；2当采用其他材料作防护栏杆杆件时，应选用与钢管材质强度相当的材料，并应采用螺栓、销轴或焊接等方式进行连接固定</x:v>
      </x:c>
      <x:c r="S63" s="41" t="n">
        <x:v>15</x:v>
      </x:c>
      <x:c r="T63" s="44" t="n">
        <x:v>9</x:v>
      </x:c>
    </x:row>
    <x:row r="64" ht="56" customHeight="1">
      <x:c r="A64" s="40" t="str">
        <x:v>HL-010</x:v>
      </x:c>
      <x:c r="B64" s="41" t="str">
        <x:v>启用</x:v>
      </x:c>
      <x:c r="C64" s="35" t="str">
        <x:v>防护栏杆</x:v>
      </x:c>
      <x:c r="D64" s="35" t="str">
        <x:v>栏杆设置与验收</x:v>
      </x:c>
      <x:c r="E64" s="35" t="str">
        <x:v>当采用其他材料作防护栏杆杆件时</x:v>
      </x:c>
      <x:c r="F64" s="35" t="str">
        <x:v>当采用其他材料作防护栏杆杆件时，应选用与钢管材质强度相当的材料，并应采用螺栓、销轴或焊接等方式进行连接固定</x:v>
      </x:c>
      <x:c r="G64" s="35" t="str">
        <x:v>无明确数值；按文本要求判断</x:v>
      </x:c>
      <x:c r="H64" s="41" t="str">
        <x:v>应执行</x:v>
      </x:c>
      <x:c r="I64" s="35" t="str">
        <x:v>火灾；灼伤；高处坠落</x:v>
      </x:c>
      <x:c r="J64" s="41" t="str">
        <x:v>较大</x:v>
      </x:c>
      <x:c r="K64" s="35" t="str">
        <x:v>高处作业人员；安全员；施工员；班组长</x:v>
      </x:c>
      <x:c r="L64" s="35" t="str">
        <x:v>现场目视或影像检查</x:v>
      </x:c>
      <x:c r="M64" s="35" t="str">
        <x:v>建筑施工高处作业安全技术规范</x:v>
      </x:c>
      <x:c r="N64" s="35" t="str">
        <x:v>JGJ 80-2016</x:v>
      </x:c>
      <x:c r="O64" s="35" t="str">
        <x:v>行业标准</x:v>
      </x:c>
      <x:c r="P64" s="35" t="str">
        <x:v>现行版本（提交前建议再核验官方状态）</x:v>
      </x:c>
      <x:c r="Q64" s="35" t="str">
        <x:v>4.3.3</x:v>
      </x:c>
      <x:c r="R64" s="35" t="str">
        <x:v>4.3.3防护栏杆杆件的规格及连接，应符合下列规定：1当采用钢管作为防护栏杆杆件时，横杆及栏杆立杆应采用脚手钢管，并应采用扣件、焊接、定型套管等方式进行连接固定；2当采用其他材料作防护栏杆杆件时，应选用与钢管材质强度相当的材料，并应采用螺栓、销轴或焊接等方式进行连接固定</x:v>
      </x:c>
      <x:c r="S64" s="41" t="n">
        <x:v>15</x:v>
      </x:c>
      <x:c r="T64" s="44" t="n">
        <x:v>9</x:v>
      </x:c>
    </x:row>
    <x:row r="65" ht="56" customHeight="1">
      <x:c r="A65" s="40" t="str">
        <x:v>HL-011</x:v>
      </x:c>
      <x:c r="B65" s="41" t="str">
        <x:v>启用</x:v>
      </x:c>
      <x:c r="C65" s="35" t="str">
        <x:v>防护栏杆</x:v>
      </x:c>
      <x:c r="D65" s="35" t="str">
        <x:v>栏杆设置与验收</x:v>
      </x:c>
      <x:c r="E65" s="35" t="str">
        <x:v>设置或验收临边防护栏杆时</x:v>
      </x:c>
      <x:c r="F65" s="35" t="str">
        <x:v>防护栏杆的立杆和横杆的设置、固定及连接，应确保防护栏杆在上下横杆和立杆任何部位处，均能承受任何方向1kN的外力作用</x:v>
      </x:c>
      <x:c r="G65" s="35" t="str">
        <x:v>1kN</x:v>
      </x:c>
      <x:c r="H65" s="41" t="str">
        <x:v>应执行</x:v>
      </x:c>
      <x:c r="I65" s="35" t="str">
        <x:v>高处坠落；物体打击</x:v>
      </x:c>
      <x:c r="J65" s="41" t="str">
        <x:v>较大</x:v>
      </x:c>
      <x:c r="K65" s="35" t="str">
        <x:v>高处作业人员；安全员；施工员；班组长</x:v>
      </x:c>
      <x:c r="L65" s="35" t="str">
        <x:v>现场目视+尺寸/仪器测量</x:v>
      </x:c>
      <x:c r="M65" s="35" t="str">
        <x:v>建筑施工高处作业安全技术规范</x:v>
      </x:c>
      <x:c r="N65" s="35" t="str">
        <x:v>JGJ 80-2016</x:v>
      </x:c>
      <x:c r="O65" s="35" t="str">
        <x:v>行业标准</x:v>
      </x:c>
      <x:c r="P65" s="35" t="str">
        <x:v>现行版本（提交前建议再核验官方状态）</x:v>
      </x:c>
      <x:c r="Q65" s="35" t="str">
        <x:v>4.3.4</x:v>
      </x:c>
      <x:c r="R65" s="35" t="str">
        <x:v>4.3.4防护栏杆的立杆和横杆的设置、固定及连接，应确保防护栏杆在上下横杆和立杆任何部位处，均能承受任何方向1kN的外力作用。当栏杆所处位置有发生人群拥挤、物件碰撞等可能时，应加大横杆截面或加密立杆间距</x:v>
      </x:c>
      <x:c r="S65" s="41" t="n">
        <x:v>15</x:v>
      </x:c>
      <x:c r="T65" s="44" t="n">
        <x:v>9</x:v>
      </x:c>
    </x:row>
    <x:row r="66" ht="56" customHeight="1">
      <x:c r="A66" s="40" t="str">
        <x:v>HL-012</x:v>
      </x:c>
      <x:c r="B66" s="41" t="str">
        <x:v>启用</x:v>
      </x:c>
      <x:c r="C66" s="35" t="str">
        <x:v>防护栏杆</x:v>
      </x:c>
      <x:c r="D66" s="35" t="str">
        <x:v>栏杆设置与验收</x:v>
      </x:c>
      <x:c r="E66" s="35" t="str">
        <x:v>当栏杆所处位置有发生人群拥挤、物件碰撞等可能时</x:v>
      </x:c>
      <x:c r="F66" s="35" t="str">
        <x:v>当栏杆所处位置有发生人群拥挤、物件碰撞等可能时，应加大横杆截面或加密立杆间距</x:v>
      </x:c>
      <x:c r="G66" s="35" t="str">
        <x:v>无明确数值；按文本要求判断</x:v>
      </x:c>
      <x:c r="H66" s="41" t="str">
        <x:v>应执行</x:v>
      </x:c>
      <x:c r="I66" s="35" t="str">
        <x:v>高处坠落；物体打击</x:v>
      </x:c>
      <x:c r="J66" s="41" t="str">
        <x:v>较大</x:v>
      </x:c>
      <x:c r="K66" s="35" t="str">
        <x:v>高处作业人员；安全员；施工员；班组长</x:v>
      </x:c>
      <x:c r="L66" s="35" t="str">
        <x:v>现场目视或影像检查</x:v>
      </x:c>
      <x:c r="M66" s="35" t="str">
        <x:v>建筑施工高处作业安全技术规范</x:v>
      </x:c>
      <x:c r="N66" s="35" t="str">
        <x:v>JGJ 80-2016</x:v>
      </x:c>
      <x:c r="O66" s="35" t="str">
        <x:v>行业标准</x:v>
      </x:c>
      <x:c r="P66" s="35" t="str">
        <x:v>现行版本（提交前建议再核验官方状态）</x:v>
      </x:c>
      <x:c r="Q66" s="35" t="str">
        <x:v>4.3.4</x:v>
      </x:c>
      <x:c r="R66" s="35" t="str">
        <x:v>4.3.4防护栏杆的立杆和横杆的设置、固定及连接，应确保防护栏杆在上下横杆和立杆任何部位处，均能承受任何方向1kN的外力作用。当栏杆所处位置有发生人群拥挤、物件碰撞等可能时，应加大横杆截面或加密立杆间距</x:v>
      </x:c>
      <x:c r="S66" s="41" t="n">
        <x:v>15</x:v>
      </x:c>
      <x:c r="T66" s="44" t="n">
        <x:v>9</x:v>
      </x:c>
    </x:row>
    <x:row r="67" ht="56" customHeight="1">
      <x:c r="A67" s="40" t="str">
        <x:v>HL-013</x:v>
      </x:c>
      <x:c r="B67" s="41" t="str">
        <x:v>启用</x:v>
      </x:c>
      <x:c r="C67" s="35" t="str">
        <x:v>防护栏杆</x:v>
      </x:c>
      <x:c r="D67" s="35" t="str">
        <x:v>栏杆设置与验收</x:v>
      </x:c>
      <x:c r="E67" s="35" t="str">
        <x:v>设置或验收临边防护栏杆时</x:v>
      </x:c>
      <x:c r="F67" s="35" t="str">
        <x:v>防护栏杆应张挂密目式安全立网或其他材料封闭</x:v>
      </x:c>
      <x:c r="G67" s="35" t="str">
        <x:v>无明确数值；按文本要求判断</x:v>
      </x:c>
      <x:c r="H67" s="41" t="str">
        <x:v>应执行</x:v>
      </x:c>
      <x:c r="I67" s="35" t="str">
        <x:v>高处坠落；物体打击</x:v>
      </x:c>
      <x:c r="J67" s="41" t="str">
        <x:v>较大</x:v>
      </x:c>
      <x:c r="K67" s="35" t="str">
        <x:v>高处作业人员；安全员；施工员；班组长</x:v>
      </x:c>
      <x:c r="L67" s="35" t="str">
        <x:v>现场目视或影像检查</x:v>
      </x:c>
      <x:c r="M67" s="35" t="str">
        <x:v>建筑施工高处作业安全技术规范</x:v>
      </x:c>
      <x:c r="N67" s="35" t="str">
        <x:v>JGJ 80-2016</x:v>
      </x:c>
      <x:c r="O67" s="35" t="str">
        <x:v>行业标准</x:v>
      </x:c>
      <x:c r="P67" s="35" t="str">
        <x:v>现行版本（提交前建议再核验官方状态）</x:v>
      </x:c>
      <x:c r="Q67" s="35" t="str">
        <x:v>4.3.5</x:v>
      </x:c>
      <x:c r="R67" s="35" t="str">
        <x:v>4.3.5防护栏杆应张挂密目式安全立网或其他材料封闭</x:v>
      </x:c>
      <x:c r="S67" s="41" t="n">
        <x:v>15</x:v>
      </x:c>
      <x:c r="T67" s="44" t="n">
        <x:v>9</x:v>
      </x:c>
    </x:row>
    <x:row r="68" ht="56" customHeight="1">
      <x:c r="A68" s="40" t="str">
        <x:v>HL-014</x:v>
      </x:c>
      <x:c r="B68" s="41" t="str">
        <x:v>启用</x:v>
      </x:c>
      <x:c r="C68" s="35" t="str">
        <x:v>防护栏杆</x:v>
      </x:c>
      <x:c r="D68" s="35" t="str">
        <x:v>栏杆设置与验收</x:v>
      </x:c>
      <x:c r="E68" s="35" t="str">
        <x:v>设置或验收临边防护栏杆时</x:v>
      </x:c>
      <x:c r="F68" s="35" t="str">
        <x:v>防护栏杆的设计计算应符合本规范附录A的规定</x:v>
      </x:c>
      <x:c r="G68" s="35" t="str">
        <x:v>无明确数值；按文本要求判断</x:v>
      </x:c>
      <x:c r="H68" s="41" t="str">
        <x:v>应执行</x:v>
      </x:c>
      <x:c r="I68" s="35" t="str">
        <x:v>高处坠落；物体打击</x:v>
      </x:c>
      <x:c r="J68" s="41" t="str">
        <x:v>较大</x:v>
      </x:c>
      <x:c r="K68" s="35" t="str">
        <x:v>技术负责人；方案编制人员；项目负责人；安全员</x:v>
      </x:c>
      <x:c r="L68" s="35" t="str">
        <x:v>文件核验</x:v>
      </x:c>
      <x:c r="M68" s="35" t="str">
        <x:v>建筑施工高处作业安全技术规范</x:v>
      </x:c>
      <x:c r="N68" s="35" t="str">
        <x:v>JGJ 80-2016</x:v>
      </x:c>
      <x:c r="O68" s="35" t="str">
        <x:v>行业标准</x:v>
      </x:c>
      <x:c r="P68" s="35" t="str">
        <x:v>现行版本（提交前建议再核验官方状态）</x:v>
      </x:c>
      <x:c r="Q68" s="35" t="str">
        <x:v>4.3.6</x:v>
      </x:c>
      <x:c r="R68" s="35" t="str">
        <x:v>4.3.6防护栏杆的设计计算应符合本规范附录A的规定</x:v>
      </x:c>
      <x:c r="S68" s="41" t="n">
        <x:v>15</x:v>
      </x:c>
      <x:c r="T68" s="44" t="n">
        <x:v>9</x:v>
      </x:c>
    </x:row>
    <x:row r="69" ht="56" customHeight="1">
      <x:c r="A69" s="40" t="str">
        <x:v>PD-001</x:v>
      </x:c>
      <x:c r="B69" s="41" t="str">
        <x:v>启用</x:v>
      </x:c>
      <x:c r="C69" s="35" t="str">
        <x:v>攀登作业</x:v>
      </x:c>
      <x:c r="D69" s="35" t="str">
        <x:v>梯具与上下通道</x:v>
      </x:c>
      <x:c r="E69" s="35" t="str">
        <x:v>人员通过梯具或通道上下时</x:v>
      </x:c>
      <x:c r="F69" s="35" t="str">
        <x:v>登高作业应借助施工通道、梯子及其他攀登设施和用具</x:v>
      </x:c>
      <x:c r="G69" s="35" t="str">
        <x:v>无明确数值；按文本要求判断</x:v>
      </x:c>
      <x:c r="H69" s="41" t="str">
        <x:v>应执行</x:v>
      </x:c>
      <x:c r="I69" s="35" t="str">
        <x:v>高处坠落；物体打击</x:v>
      </x:c>
      <x:c r="J69" s="41" t="str">
        <x:v>较大</x:v>
      </x:c>
      <x:c r="K69" s="35" t="str">
        <x:v>高处作业人员；安全员；施工员；班组长</x:v>
      </x:c>
      <x:c r="L69" s="35" t="str">
        <x:v>现场检查+人工确认</x:v>
      </x:c>
      <x:c r="M69" s="35" t="str">
        <x:v>建筑施工高处作业安全技术规范</x:v>
      </x:c>
      <x:c r="N69" s="35" t="str">
        <x:v>JGJ 80-2016</x:v>
      </x:c>
      <x:c r="O69" s="35" t="str">
        <x:v>行业标准</x:v>
      </x:c>
      <x:c r="P69" s="35" t="str">
        <x:v>现行版本（提交前建议再核验官方状态）</x:v>
      </x:c>
      <x:c r="Q69" s="35" t="str">
        <x:v>5.1.1</x:v>
      </x:c>
      <x:c r="R69" s="35" t="str">
        <x:v>5.1.1登高作业应借助施工通道、梯子及其他攀登设施和用具</x:v>
      </x:c>
      <x:c r="S69" s="41" t="n">
        <x:v>16</x:v>
      </x:c>
      <x:c r="T69" s="44" t="n">
        <x:v>10</x:v>
      </x:c>
    </x:row>
    <x:row r="70" ht="56" customHeight="1">
      <x:c r="A70" s="40" t="str">
        <x:v>PD-002</x:v>
      </x:c>
      <x:c r="B70" s="41" t="str">
        <x:v>启用</x:v>
      </x:c>
      <x:c r="C70" s="35" t="str">
        <x:v>攀登作业</x:v>
      </x:c>
      <x:c r="D70" s="35" t="str">
        <x:v>梯具与上下通道</x:v>
      </x:c>
      <x:c r="E70" s="35" t="str">
        <x:v>人员通过梯具或通道上下时</x:v>
      </x:c>
      <x:c r="F70" s="35" t="str">
        <x:v>攀登作业设施和用具应牢固可靠</x:v>
      </x:c>
      <x:c r="G70" s="35" t="str">
        <x:v>无明确数值；按文本要求判断</x:v>
      </x:c>
      <x:c r="H70" s="41" t="str">
        <x:v>应执行</x:v>
      </x:c>
      <x:c r="I70" s="35" t="str">
        <x:v>高处坠落；物体打击</x:v>
      </x:c>
      <x:c r="J70" s="41" t="str">
        <x:v>较大</x:v>
      </x:c>
      <x:c r="K70" s="35" t="str">
        <x:v>高处作业人员；安全员；施工员；班组长</x:v>
      </x:c>
      <x:c r="L70" s="35" t="str">
        <x:v>现场检查+人工确认</x:v>
      </x:c>
      <x:c r="M70" s="35" t="str">
        <x:v>建筑施工高处作业安全技术规范</x:v>
      </x:c>
      <x:c r="N70" s="35" t="str">
        <x:v>JGJ 80-2016</x:v>
      </x:c>
      <x:c r="O70" s="35" t="str">
        <x:v>行业标准</x:v>
      </x:c>
      <x:c r="P70" s="35" t="str">
        <x:v>现行版本（提交前建议再核验官方状态）</x:v>
      </x:c>
      <x:c r="Q70" s="35" t="str">
        <x:v>5.1.2</x:v>
      </x:c>
      <x:c r="R70" s="35" t="str">
        <x:v>5.1.2攀登作业设施和用具应牢固可靠；当采用梯子攀爬作用时，踏面荷载不应大于1.1kN；当梯面上有特殊作业时，应按实际情况进行专项设计</x:v>
      </x:c>
      <x:c r="S70" s="41" t="n">
        <x:v>16</x:v>
      </x:c>
      <x:c r="T70" s="44" t="n">
        <x:v>10</x:v>
      </x:c>
    </x:row>
    <x:row r="71" ht="56" customHeight="1">
      <x:c r="A71" s="40" t="str">
        <x:v>PD-003</x:v>
      </x:c>
      <x:c r="B71" s="41" t="str">
        <x:v>启用</x:v>
      </x:c>
      <x:c r="C71" s="35" t="str">
        <x:v>攀登作业</x:v>
      </x:c>
      <x:c r="D71" s="35" t="str">
        <x:v>梯具与上下通道</x:v>
      </x:c>
      <x:c r="E71" s="35" t="str">
        <x:v>当采用梯子攀爬作用时</x:v>
      </x:c>
      <x:c r="F71" s="35" t="str">
        <x:v>当采用梯子攀爬作用时，踏面荷载不应大于1.1kN</x:v>
      </x:c>
      <x:c r="G71" s="35" t="str">
        <x:v>1.1kN</x:v>
      </x:c>
      <x:c r="H71" s="41" t="str">
        <x:v>禁止/不得</x:v>
      </x:c>
      <x:c r="I71" s="35" t="str">
        <x:v>高处坠落；物体打击</x:v>
      </x:c>
      <x:c r="J71" s="41" t="str">
        <x:v>重大</x:v>
      </x:c>
      <x:c r="K71" s="35" t="str">
        <x:v>高处作业人员；安全员；施工员；班组长</x:v>
      </x:c>
      <x:c r="L71" s="35" t="str">
        <x:v>现场目视+尺寸/仪器测量</x:v>
      </x:c>
      <x:c r="M71" s="35" t="str">
        <x:v>建筑施工高处作业安全技术规范</x:v>
      </x:c>
      <x:c r="N71" s="35" t="str">
        <x:v>JGJ 80-2016</x:v>
      </x:c>
      <x:c r="O71" s="35" t="str">
        <x:v>行业标准</x:v>
      </x:c>
      <x:c r="P71" s="35" t="str">
        <x:v>现行版本（提交前建议再核验官方状态）</x:v>
      </x:c>
      <x:c r="Q71" s="35" t="str">
        <x:v>5.1.2</x:v>
      </x:c>
      <x:c r="R71" s="35" t="str">
        <x:v>5.1.2攀登作业设施和用具应牢固可靠；当采用梯子攀爬作用时，踏面荷载不应大于1.1kN；当梯面上有特殊作业时，应按实际情况进行专项设计</x:v>
      </x:c>
      <x:c r="S71" s="41" t="n">
        <x:v>16</x:v>
      </x:c>
      <x:c r="T71" s="44" t="n">
        <x:v>10</x:v>
      </x:c>
    </x:row>
    <x:row r="72" ht="56" customHeight="1">
      <x:c r="A72" s="40" t="str">
        <x:v>PD-004</x:v>
      </x:c>
      <x:c r="B72" s="41" t="str">
        <x:v>启用</x:v>
      </x:c>
      <x:c r="C72" s="35" t="str">
        <x:v>攀登作业</x:v>
      </x:c>
      <x:c r="D72" s="35" t="str">
        <x:v>梯具与上下通道</x:v>
      </x:c>
      <x:c r="E72" s="35" t="str">
        <x:v>当梯面上有特殊作业时</x:v>
      </x:c>
      <x:c r="F72" s="35" t="str">
        <x:v>当梯面上有特殊作业时，应按实际情况进行专项设计</x:v>
      </x:c>
      <x:c r="G72" s="35" t="str">
        <x:v>无明确数值；按文本要求判断</x:v>
      </x:c>
      <x:c r="H72" s="41" t="str">
        <x:v>应执行</x:v>
      </x:c>
      <x:c r="I72" s="35" t="str">
        <x:v>高处坠落；物体打击</x:v>
      </x:c>
      <x:c r="J72" s="41" t="str">
        <x:v>较大</x:v>
      </x:c>
      <x:c r="K72" s="35" t="str">
        <x:v>技术负责人；方案编制人员；项目负责人；安全员</x:v>
      </x:c>
      <x:c r="L72" s="35" t="str">
        <x:v>现场检查+人工确认</x:v>
      </x:c>
      <x:c r="M72" s="35" t="str">
        <x:v>建筑施工高处作业安全技术规范</x:v>
      </x:c>
      <x:c r="N72" s="35" t="str">
        <x:v>JGJ 80-2016</x:v>
      </x:c>
      <x:c r="O72" s="35" t="str">
        <x:v>行业标准</x:v>
      </x:c>
      <x:c r="P72" s="35" t="str">
        <x:v>现行版本（提交前建议再核验官方状态）</x:v>
      </x:c>
      <x:c r="Q72" s="35" t="str">
        <x:v>5.1.2</x:v>
      </x:c>
      <x:c r="R72" s="35" t="str">
        <x:v>5.1.2攀登作业设施和用具应牢固可靠；当采用梯子攀爬作用时，踏面荷载不应大于1.1kN；当梯面上有特殊作业时，应按实际情况进行专项设计</x:v>
      </x:c>
      <x:c r="S72" s="41" t="n">
        <x:v>16</x:v>
      </x:c>
      <x:c r="T72" s="44" t="n">
        <x:v>10</x:v>
      </x:c>
    </x:row>
    <x:row r="73" ht="56" customHeight="1">
      <x:c r="A73" s="40" t="str">
        <x:v>PD-005</x:v>
      </x:c>
      <x:c r="B73" s="41" t="str">
        <x:v>启用</x:v>
      </x:c>
      <x:c r="C73" s="35" t="str">
        <x:v>攀登作业</x:v>
      </x:c>
      <x:c r="D73" s="35" t="str">
        <x:v>梯具与上下通道</x:v>
      </x:c>
      <x:c r="E73" s="35" t="str">
        <x:v>人员通过梯具或通道上下时</x:v>
      </x:c>
      <x:c r="F73" s="35" t="str">
        <x:v>同一梯子上不得两人同时作业</x:v>
      </x:c>
      <x:c r="G73" s="35" t="str">
        <x:v>无明确数值；按文本要求判断</x:v>
      </x:c>
      <x:c r="H73" s="41" t="str">
        <x:v>禁止/不得</x:v>
      </x:c>
      <x:c r="I73" s="35" t="str">
        <x:v>高处坠落；物体打击</x:v>
      </x:c>
      <x:c r="J73" s="41" t="str">
        <x:v>重大</x:v>
      </x:c>
      <x:c r="K73" s="35" t="str">
        <x:v>高处作业人员；安全员；施工员；班组长</x:v>
      </x:c>
      <x:c r="L73" s="35" t="str">
        <x:v>现场检查+人工确认</x:v>
      </x:c>
      <x:c r="M73" s="35" t="str">
        <x:v>建筑施工高处作业安全技术规范</x:v>
      </x:c>
      <x:c r="N73" s="35" t="str">
        <x:v>JGJ 80-2016</x:v>
      </x:c>
      <x:c r="O73" s="35" t="str">
        <x:v>行业标准</x:v>
      </x:c>
      <x:c r="P73" s="35" t="str">
        <x:v>现行版本（提交前建议再核验官方状态）</x:v>
      </x:c>
      <x:c r="Q73" s="35" t="str">
        <x:v>5.1.3</x:v>
      </x:c>
      <x:c r="R73" s="35" t="str">
        <x:v>5.1.3同一梯子上不得两人同时作业。在通道处使用梯子作业时，应有专人监护或设置围栏。脚手架操作层上严禁架设梯子作业</x:v>
      </x:c>
      <x:c r="S73" s="41" t="n">
        <x:v>16</x:v>
      </x:c>
      <x:c r="T73" s="44" t="n">
        <x:v>10</x:v>
      </x:c>
    </x:row>
    <x:row r="74" ht="56" customHeight="1">
      <x:c r="A74" s="40" t="str">
        <x:v>PD-006</x:v>
      </x:c>
      <x:c r="B74" s="41" t="str">
        <x:v>启用</x:v>
      </x:c>
      <x:c r="C74" s="35" t="str">
        <x:v>攀登作业</x:v>
      </x:c>
      <x:c r="D74" s="35" t="str">
        <x:v>梯具与上下通道</x:v>
      </x:c>
      <x:c r="E74" s="35" t="str">
        <x:v>在通道处使用梯子作业时</x:v>
      </x:c>
      <x:c r="F74" s="35" t="str">
        <x:v>在通道处使用梯子作业时，应有专人监护或设置围栏</x:v>
      </x:c>
      <x:c r="G74" s="35" t="str">
        <x:v>无明确数值；按文本要求判断</x:v>
      </x:c>
      <x:c r="H74" s="41" t="str">
        <x:v>应执行</x:v>
      </x:c>
      <x:c r="I74" s="35" t="str">
        <x:v>高处坠落；物体打击</x:v>
      </x:c>
      <x:c r="J74" s="41" t="str">
        <x:v>较大</x:v>
      </x:c>
      <x:c r="K74" s="35" t="str">
        <x:v>高处作业人员；安全员；施工员；班组长</x:v>
      </x:c>
      <x:c r="L74" s="35" t="str">
        <x:v>现场目视或影像检查</x:v>
      </x:c>
      <x:c r="M74" s="35" t="str">
        <x:v>建筑施工高处作业安全技术规范</x:v>
      </x:c>
      <x:c r="N74" s="35" t="str">
        <x:v>JGJ 80-2016</x:v>
      </x:c>
      <x:c r="O74" s="35" t="str">
        <x:v>行业标准</x:v>
      </x:c>
      <x:c r="P74" s="35" t="str">
        <x:v>现行版本（提交前建议再核验官方状态）</x:v>
      </x:c>
      <x:c r="Q74" s="35" t="str">
        <x:v>5.1.3</x:v>
      </x:c>
      <x:c r="R74" s="35" t="str">
        <x:v>5.1.3同一梯子上不得两人同时作业。在通道处使用梯子作业时，应有专人监护或设置围栏。脚手架操作层上严禁架设梯子作业</x:v>
      </x:c>
      <x:c r="S74" s="41" t="n">
        <x:v>16</x:v>
      </x:c>
      <x:c r="T74" s="44" t="n">
        <x:v>10</x:v>
      </x:c>
    </x:row>
    <x:row r="75" ht="56" customHeight="1">
      <x:c r="A75" s="40" t="str">
        <x:v>PD-007</x:v>
      </x:c>
      <x:c r="B75" s="41" t="str">
        <x:v>启用</x:v>
      </x:c>
      <x:c r="C75" s="35" t="str">
        <x:v>攀登作业</x:v>
      </x:c>
      <x:c r="D75" s="35" t="str">
        <x:v>梯具与上下通道</x:v>
      </x:c>
      <x:c r="E75" s="35" t="str">
        <x:v>人员通过梯具或通道上下时</x:v>
      </x:c>
      <x:c r="F75" s="35" t="str">
        <x:v>脚手架操作层上严禁架设梯子作业</x:v>
      </x:c>
      <x:c r="G75" s="35" t="str">
        <x:v>无明确数值；按文本要求判断</x:v>
      </x:c>
      <x:c r="H75" s="41" t="str">
        <x:v>禁止/不得</x:v>
      </x:c>
      <x:c r="I75" s="35" t="str">
        <x:v>高处坠落；物体打击</x:v>
      </x:c>
      <x:c r="J75" s="41" t="str">
        <x:v>重大</x:v>
      </x:c>
      <x:c r="K75" s="35" t="str">
        <x:v>高处作业人员；安全员；施工员；班组长</x:v>
      </x:c>
      <x:c r="L75" s="35" t="str">
        <x:v>现场检查+人工确认</x:v>
      </x:c>
      <x:c r="M75" s="35" t="str">
        <x:v>建筑施工高处作业安全技术规范</x:v>
      </x:c>
      <x:c r="N75" s="35" t="str">
        <x:v>JGJ 80-2016</x:v>
      </x:c>
      <x:c r="O75" s="35" t="str">
        <x:v>行业标准</x:v>
      </x:c>
      <x:c r="P75" s="35" t="str">
        <x:v>现行版本（提交前建议再核验官方状态）</x:v>
      </x:c>
      <x:c r="Q75" s="35" t="str">
        <x:v>5.1.3</x:v>
      </x:c>
      <x:c r="R75" s="35" t="str">
        <x:v>5.1.3同一梯子上不得两人同时作业。在通道处使用梯子作业时，应有专人监护或设置围栏。脚手架操作层上严禁架设梯子作业</x:v>
      </x:c>
      <x:c r="S75" s="41" t="n">
        <x:v>16</x:v>
      </x:c>
      <x:c r="T75" s="44" t="n">
        <x:v>10</x:v>
      </x:c>
    </x:row>
    <x:row r="76" ht="56" customHeight="1">
      <x:c r="A76" s="40" t="str">
        <x:v>PD-008</x:v>
      </x:c>
      <x:c r="B76" s="41" t="str">
        <x:v>启用</x:v>
      </x:c>
      <x:c r="C76" s="35" t="str">
        <x:v>攀登作业</x:v>
      </x:c>
      <x:c r="D76" s="35" t="str">
        <x:v>梯具与上下通道</x:v>
      </x:c>
      <x:c r="E76" s="35" t="str">
        <x:v>人员通过梯具或通道上下时</x:v>
      </x:c>
      <x:c r="F76" s="35" t="str">
        <x:v>便携式梯子宜采用金属材料或木材制作，并应符合现行国家标准《便携式金属梯安全要求》GB12142和《便携式木梯安全要求》GB7059的规定</x:v>
      </x:c>
      <x:c r="G76" s="35" t="str">
        <x:v>无明确数值；按文本要求判断</x:v>
      </x:c>
      <x:c r="H76" s="41" t="str">
        <x:v>应执行</x:v>
      </x:c>
      <x:c r="I76" s="35" t="str">
        <x:v>高处坠落；物体打击</x:v>
      </x:c>
      <x:c r="J76" s="41" t="str">
        <x:v>较大</x:v>
      </x:c>
      <x:c r="K76" s="35" t="str">
        <x:v>高处作业人员；安全员；施工员；班组长</x:v>
      </x:c>
      <x:c r="L76" s="35" t="str">
        <x:v>现场目视+尺寸/仪器测量</x:v>
      </x:c>
      <x:c r="M76" s="35" t="str">
        <x:v>建筑施工高处作业安全技术规范</x:v>
      </x:c>
      <x:c r="N76" s="35" t="str">
        <x:v>JGJ 80-2016</x:v>
      </x:c>
      <x:c r="O76" s="35" t="str">
        <x:v>行业标准</x:v>
      </x:c>
      <x:c r="P76" s="35" t="str">
        <x:v>现行版本（提交前建议再核验官方状态）</x:v>
      </x:c>
      <x:c r="Q76" s="35" t="str">
        <x:v>5.1.4</x:v>
      </x:c>
      <x:c r="R76" s="35" t="str">
        <x:v>5.1.4便携式梯子宜采用金属材料或木材制作，并应符合现行国家标准《便携式金属梯安全要求》GB12142和《便携式木梯安全要求》GB7059的规定</x:v>
      </x:c>
      <x:c r="S76" s="41" t="n">
        <x:v>16</x:v>
      </x:c>
      <x:c r="T76" s="44" t="n">
        <x:v>10</x:v>
      </x:c>
    </x:row>
    <x:row r="77" ht="56" customHeight="1">
      <x:c r="A77" s="40" t="str">
        <x:v>PD-009</x:v>
      </x:c>
      <x:c r="B77" s="41" t="str">
        <x:v>启用</x:v>
      </x:c>
      <x:c r="C77" s="35" t="str">
        <x:v>攀登作业</x:v>
      </x:c>
      <x:c r="D77" s="35" t="str">
        <x:v>梯具与上下通道</x:v>
      </x:c>
      <x:c r="E77" s="35" t="str">
        <x:v>使用单梯时梯面应与水平面成75°夹角</x:v>
      </x:c>
      <x:c r="F77" s="35" t="str">
        <x:v>使用单梯时梯面应与水平面成75°夹角，踏步不得缺失，梯格间距宜为300mm，不得垫高使用</x:v>
      </x:c>
      <x:c r="G77" s="35" t="str">
        <x:v>75°；300mm</x:v>
      </x:c>
      <x:c r="H77" s="41" t="str">
        <x:v>禁止/不得</x:v>
      </x:c>
      <x:c r="I77" s="35" t="str">
        <x:v>高处坠落；物体打击</x:v>
      </x:c>
      <x:c r="J77" s="41" t="str">
        <x:v>重大</x:v>
      </x:c>
      <x:c r="K77" s="35" t="str">
        <x:v>高处作业人员；安全员；施工员；班组长</x:v>
      </x:c>
      <x:c r="L77" s="35" t="str">
        <x:v>现场目视+尺寸/仪器测量</x:v>
      </x:c>
      <x:c r="M77" s="35" t="str">
        <x:v>建筑施工高处作业安全技术规范</x:v>
      </x:c>
      <x:c r="N77" s="35" t="str">
        <x:v>JGJ 80-2016</x:v>
      </x:c>
      <x:c r="O77" s="35" t="str">
        <x:v>行业标准</x:v>
      </x:c>
      <x:c r="P77" s="35" t="str">
        <x:v>现行版本（提交前建议再核验官方状态）</x:v>
      </x:c>
      <x:c r="Q77" s="35" t="str">
        <x:v>5.1.5</x:v>
      </x:c>
      <x:c r="R77" s="35" t="str">
        <x:v>5.1.5使用单梯时梯面应与水平面成75°夹角，踏步不得缺失，梯格间距宜为300mm，不得垫高使用。&gt;</x:v>
      </x:c>
      <x:c r="S77" s="41" t="n">
        <x:v>16</x:v>
      </x:c>
      <x:c r="T77" s="44" t="n">
        <x:v>10</x:v>
      </x:c>
    </x:row>
    <x:row r="78" ht="56" customHeight="1">
      <x:c r="A78" s="40" t="str">
        <x:v>PD-010</x:v>
      </x:c>
      <x:c r="B78" s="41" t="str">
        <x:v>启用</x:v>
      </x:c>
      <x:c r="C78" s="35" t="str">
        <x:v>攀登作业</x:v>
      </x:c>
      <x:c r="D78" s="35" t="str">
        <x:v>梯具与上下通道</x:v>
      </x:c>
      <x:c r="E78" s="35" t="str">
        <x:v>使用固定式直梯攀登作业时</x:v>
      </x:c>
      <x:c r="F78" s="35" t="str">
        <x:v>使用固定式直梯攀登作业时，当攀登高度超过3m时，宜加设护笼</x:v>
      </x:c>
      <x:c r="G78" s="35" t="str">
        <x:v>3m</x:v>
      </x:c>
      <x:c r="H78" s="41" t="str">
        <x:v>推荐/允许</x:v>
      </x:c>
      <x:c r="I78" s="35" t="str">
        <x:v>高处坠落；物体打击</x:v>
      </x:c>
      <x:c r="J78" s="41" t="str">
        <x:v>较大</x:v>
      </x:c>
      <x:c r="K78" s="35" t="str">
        <x:v>高处作业人员；安全员；施工员；班组长</x:v>
      </x:c>
      <x:c r="L78" s="35" t="str">
        <x:v>现场目视+尺寸/仪器测量</x:v>
      </x:c>
      <x:c r="M78" s="35" t="str">
        <x:v>建筑施工高处作业安全技术规范</x:v>
      </x:c>
      <x:c r="N78" s="35" t="str">
        <x:v>JGJ 80-2016</x:v>
      </x:c>
      <x:c r="O78" s="35" t="str">
        <x:v>行业标准</x:v>
      </x:c>
      <x:c r="P78" s="35" t="str">
        <x:v>现行版本（提交前建议再核验官方状态）</x:v>
      </x:c>
      <x:c r="Q78" s="35" t="str">
        <x:v>5.1.8</x:v>
      </x:c>
      <x:c r="R78" s="35" t="str">
        <x:v>5.1.8使用固定式直梯攀登作业时，当攀登高度超过3m时，宜加设护笼；当攀登高度超过8m时，应设置梯间平台</x:v>
      </x:c>
      <x:c r="S78" s="41" t="n">
        <x:v>16</x:v>
      </x:c>
      <x:c r="T78" s="44" t="n">
        <x:v>10</x:v>
      </x:c>
    </x:row>
    <x:row r="79" ht="56" customHeight="1">
      <x:c r="A79" s="40" t="str">
        <x:v>PD-011</x:v>
      </x:c>
      <x:c r="B79" s="41" t="str">
        <x:v>启用</x:v>
      </x:c>
      <x:c r="C79" s="35" t="str">
        <x:v>攀登作业</x:v>
      </x:c>
      <x:c r="D79" s="35" t="str">
        <x:v>梯具与上下通道</x:v>
      </x:c>
      <x:c r="E79" s="35" t="str">
        <x:v>当攀登高度超过8m时</x:v>
      </x:c>
      <x:c r="F79" s="35" t="str">
        <x:v>当攀登高度超过8m时，应设置梯间平台</x:v>
      </x:c>
      <x:c r="G79" s="35" t="str">
        <x:v>8m</x:v>
      </x:c>
      <x:c r="H79" s="41" t="str">
        <x:v>应执行</x:v>
      </x:c>
      <x:c r="I79" s="35" t="str">
        <x:v>高处坠落；物体打击</x:v>
      </x:c>
      <x:c r="J79" s="41" t="str">
        <x:v>较大</x:v>
      </x:c>
      <x:c r="K79" s="35" t="str">
        <x:v>高处作业人员；安全员；施工员；班组长</x:v>
      </x:c>
      <x:c r="L79" s="35" t="str">
        <x:v>现场目视+尺寸/仪器测量</x:v>
      </x:c>
      <x:c r="M79" s="35" t="str">
        <x:v>建筑施工高处作业安全技术规范</x:v>
      </x:c>
      <x:c r="N79" s="35" t="str">
        <x:v>JGJ 80-2016</x:v>
      </x:c>
      <x:c r="O79" s="35" t="str">
        <x:v>行业标准</x:v>
      </x:c>
      <x:c r="P79" s="35" t="str">
        <x:v>现行版本（提交前建议再核验官方状态）</x:v>
      </x:c>
      <x:c r="Q79" s="35" t="str">
        <x:v>5.1.8</x:v>
      </x:c>
      <x:c r="R79" s="35" t="str">
        <x:v>5.1.8使用固定式直梯攀登作业时，当攀登高度超过3m时，宜加设护笼；当攀登高度超过8m时，应设置梯间平台</x:v>
      </x:c>
      <x:c r="S79" s="41" t="n">
        <x:v>16</x:v>
      </x:c>
      <x:c r="T79" s="44" t="n">
        <x:v>10</x:v>
      </x:c>
    </x:row>
    <x:row r="80" ht="56" customHeight="1">
      <x:c r="A80" s="40" t="str">
        <x:v>PD-012</x:v>
      </x:c>
      <x:c r="B80" s="41" t="str">
        <x:v>启用</x:v>
      </x:c>
      <x:c r="C80" s="35" t="str">
        <x:v>攀登作业</x:v>
      </x:c>
      <x:c r="D80" s="35" t="str">
        <x:v>梯具与上下通道</x:v>
      </x:c>
      <x:c r="E80" s="35" t="str">
        <x:v>人员通过梯具或通道上下时</x:v>
      </x:c>
      <x:c r="F80" s="35" t="str">
        <x:v>钢结构安装时，应使用梯子或其他登高设施攀登作业</x:v>
      </x:c>
      <x:c r="G80" s="35" t="str">
        <x:v>无明确数值；按文本要求判断</x:v>
      </x:c>
      <x:c r="H80" s="41" t="str">
        <x:v>应执行</x:v>
      </x:c>
      <x:c r="I80" s="35" t="str">
        <x:v>高处坠落；物体打击</x:v>
      </x:c>
      <x:c r="J80" s="41" t="str">
        <x:v>较大</x:v>
      </x:c>
      <x:c r="K80" s="35" t="str">
        <x:v>高处作业人员；安全员；施工员；班组长</x:v>
      </x:c>
      <x:c r="L80" s="35" t="str">
        <x:v>现场检查+人工确认</x:v>
      </x:c>
      <x:c r="M80" s="35" t="str">
        <x:v>建筑施工高处作业安全技术规范</x:v>
      </x:c>
      <x:c r="N80" s="35" t="str">
        <x:v>JGJ 80-2016</x:v>
      </x:c>
      <x:c r="O80" s="35" t="str">
        <x:v>行业标准</x:v>
      </x:c>
      <x:c r="P80" s="35" t="str">
        <x:v>现行版本（提交前建议再核验官方状态）</x:v>
      </x:c>
      <x:c r="Q80" s="35" t="str">
        <x:v>5.1.9</x:v>
      </x:c>
      <x:c r="R80" s="35" t="str">
        <x:v>5.1.9钢结构安装时，应使用梯子或其他登高设施攀登作业。坠落高度超过2m时，应设置操作平台。10</x:v>
      </x:c>
      <x:c r="S80" s="41" t="n">
        <x:v>16</x:v>
      </x:c>
      <x:c r="T80" s="44" t="n">
        <x:v>10</x:v>
      </x:c>
    </x:row>
    <x:row r="81" ht="56" customHeight="1">
      <x:c r="A81" s="40" t="str">
        <x:v>PD-013</x:v>
      </x:c>
      <x:c r="B81" s="41" t="str">
        <x:v>启用</x:v>
      </x:c>
      <x:c r="C81" s="35" t="str">
        <x:v>攀登作业</x:v>
      </x:c>
      <x:c r="D81" s="35" t="str">
        <x:v>梯具与上下通道</x:v>
      </x:c>
      <x:c r="E81" s="35" t="str">
        <x:v>人员通过梯具或通道上下时</x:v>
      </x:c>
      <x:c r="F81" s="35" t="str">
        <x:v>坠落高度超过2m时，应设置操作平台</x:v>
      </x:c>
      <x:c r="G81" s="35" t="str">
        <x:v>2m</x:v>
      </x:c>
      <x:c r="H81" s="41" t="str">
        <x:v>应执行</x:v>
      </x:c>
      <x:c r="I81" s="35" t="str">
        <x:v>高处坠落；物体打击</x:v>
      </x:c>
      <x:c r="J81" s="41" t="str">
        <x:v>较大</x:v>
      </x:c>
      <x:c r="K81" s="35" t="str">
        <x:v>高处作业人员；安全员；施工员；班组长</x:v>
      </x:c>
      <x:c r="L81" s="35" t="str">
        <x:v>现场目视+尺寸/仪器测量</x:v>
      </x:c>
      <x:c r="M81" s="35" t="str">
        <x:v>建筑施工高处作业安全技术规范</x:v>
      </x:c>
      <x:c r="N81" s="35" t="str">
        <x:v>JGJ 80-2016</x:v>
      </x:c>
      <x:c r="O81" s="35" t="str">
        <x:v>行业标准</x:v>
      </x:c>
      <x:c r="P81" s="35" t="str">
        <x:v>现行版本（提交前建议再核验官方状态）</x:v>
      </x:c>
      <x:c r="Q81" s="35" t="str">
        <x:v>5.1.9</x:v>
      </x:c>
      <x:c r="R81" s="35" t="str">
        <x:v>5.1.9钢结构安装时，应使用梯子或其他登高设施攀登作业。坠落高度超过2m时，应设置操作平台。10</x:v>
      </x:c>
      <x:c r="S81" s="41" t="n">
        <x:v>16</x:v>
      </x:c>
      <x:c r="T81" s="44" t="n">
        <x:v>10</x:v>
      </x:c>
    </x:row>
    <x:row r="82" ht="56" customHeight="1">
      <x:c r="A82" s="40" t="str">
        <x:v>PD-014</x:v>
      </x:c>
      <x:c r="B82" s="41" t="str">
        <x:v>启用</x:v>
      </x:c>
      <x:c r="C82" s="35" t="str">
        <x:v>攀登作业</x:v>
      </x:c>
      <x:c r="D82" s="35" t="str">
        <x:v>梯具与上下通道</x:v>
      </x:c>
      <x:c r="E82" s="35" t="str">
        <x:v>当安装屋架时</x:v>
      </x:c>
      <x:c r="F82" s="35" t="str">
        <x:v>当安装屋架时，应在屋脊处设置扶梯</x:v>
      </x:c>
      <x:c r="G82" s="35" t="str">
        <x:v>无明确数值；按文本要求判断</x:v>
      </x:c>
      <x:c r="H82" s="41" t="str">
        <x:v>应执行</x:v>
      </x:c>
      <x:c r="I82" s="35" t="str">
        <x:v>高处坠落；物体打击</x:v>
      </x:c>
      <x:c r="J82" s="41" t="str">
        <x:v>较大</x:v>
      </x:c>
      <x:c r="K82" s="35" t="str">
        <x:v>高处作业人员；安全员；施工员；班组长</x:v>
      </x:c>
      <x:c r="L82" s="35" t="str">
        <x:v>现场目视或影像检查</x:v>
      </x:c>
      <x:c r="M82" s="35" t="str">
        <x:v>建筑施工高处作业安全技术规范</x:v>
      </x:c>
      <x:c r="N82" s="35" t="str">
        <x:v>JGJ 80-2016</x:v>
      </x:c>
      <x:c r="O82" s="35" t="str">
        <x:v>行业标准</x:v>
      </x:c>
      <x:c r="P82" s="35" t="str">
        <x:v>现行版本（提交前建议再核验官方状态）</x:v>
      </x:c>
      <x:c r="Q82" s="35" t="str">
        <x:v>5.1.10</x:v>
      </x:c>
      <x:c r="R82" s="35" t="str">
        <x:v>5.1.10当安装屋架时，应在屋脊处设置扶梯。扶梯踏步间距不应大于400mm。屋架杆件安装时搭设的操作平台，应设置防护栏杆或使用作业人员拴挂安全带的安全绳</x:v>
      </x:c>
      <x:c r="S82" s="41" t="n">
        <x:v>17</x:v>
      </x:c>
      <x:c r="T82" s="44" t="n">
        <x:v>11</x:v>
      </x:c>
    </x:row>
    <x:row r="83" ht="56" customHeight="1">
      <x:c r="A83" s="40" t="str">
        <x:v>PD-015</x:v>
      </x:c>
      <x:c r="B83" s="41" t="str">
        <x:v>启用</x:v>
      </x:c>
      <x:c r="C83" s="35" t="str">
        <x:v>攀登作业</x:v>
      </x:c>
      <x:c r="D83" s="35" t="str">
        <x:v>梯具与上下通道</x:v>
      </x:c>
      <x:c r="E83" s="35" t="str">
        <x:v>人员通过梯具或通道上下时</x:v>
      </x:c>
      <x:c r="F83" s="35" t="str">
        <x:v>扶梯踏步间距不应大于400mm</x:v>
      </x:c>
      <x:c r="G83" s="35" t="str">
        <x:v>400mm</x:v>
      </x:c>
      <x:c r="H83" s="41" t="str">
        <x:v>禁止/不得</x:v>
      </x:c>
      <x:c r="I83" s="35" t="str">
        <x:v>高处坠落；物体打击</x:v>
      </x:c>
      <x:c r="J83" s="41" t="str">
        <x:v>重大</x:v>
      </x:c>
      <x:c r="K83" s="35" t="str">
        <x:v>高处作业人员；安全员；施工员；班组长</x:v>
      </x:c>
      <x:c r="L83" s="35" t="str">
        <x:v>现场目视+尺寸/仪器测量</x:v>
      </x:c>
      <x:c r="M83" s="35" t="str">
        <x:v>建筑施工高处作业安全技术规范</x:v>
      </x:c>
      <x:c r="N83" s="35" t="str">
        <x:v>JGJ 80-2016</x:v>
      </x:c>
      <x:c r="O83" s="35" t="str">
        <x:v>行业标准</x:v>
      </x:c>
      <x:c r="P83" s="35" t="str">
        <x:v>现行版本（提交前建议再核验官方状态）</x:v>
      </x:c>
      <x:c r="Q83" s="35" t="str">
        <x:v>5.1.10</x:v>
      </x:c>
      <x:c r="R83" s="35" t="str">
        <x:v>5.1.10当安装屋架时，应在屋脊处设置扶梯。扶梯踏步间距不应大于400mm。屋架杆件安装时搭设的操作平台，应设置防护栏杆或使用作业人员拴挂安全带的安全绳</x:v>
      </x:c>
      <x:c r="S83" s="41" t="n">
        <x:v>17</x:v>
      </x:c>
      <x:c r="T83" s="44" t="n">
        <x:v>11</x:v>
      </x:c>
    </x:row>
    <x:row r="84" ht="56" customHeight="1">
      <x:c r="A84" s="40" t="str">
        <x:v>PD-016</x:v>
      </x:c>
      <x:c r="B84" s="41" t="str">
        <x:v>启用</x:v>
      </x:c>
      <x:c r="C84" s="35" t="str">
        <x:v>攀登作业</x:v>
      </x:c>
      <x:c r="D84" s="35" t="str">
        <x:v>梯具与上下通道</x:v>
      </x:c>
      <x:c r="E84" s="35" t="str">
        <x:v>人员通过梯具或通道上下时</x:v>
      </x:c>
      <x:c r="F84" s="35" t="str">
        <x:v>屋架杆件安装时搭设的操作平台，应设置防护栏杆或使用作业人员拴挂安全带的安全绳</x:v>
      </x:c>
      <x:c r="G84" s="35" t="str">
        <x:v>无明确数值；按文本要求判断</x:v>
      </x:c>
      <x:c r="H84" s="41" t="str">
        <x:v>应执行</x:v>
      </x:c>
      <x:c r="I84" s="35" t="str">
        <x:v>高处坠落；物体打击</x:v>
      </x:c>
      <x:c r="J84" s="41" t="str">
        <x:v>较大</x:v>
      </x:c>
      <x:c r="K84" s="35" t="str">
        <x:v>高处作业人员；安全员；施工员；班组长</x:v>
      </x:c>
      <x:c r="L84" s="35" t="str">
        <x:v>现场目视或影像检查</x:v>
      </x:c>
      <x:c r="M84" s="35" t="str">
        <x:v>建筑施工高处作业安全技术规范</x:v>
      </x:c>
      <x:c r="N84" s="35" t="str">
        <x:v>JGJ 80-2016</x:v>
      </x:c>
      <x:c r="O84" s="35" t="str">
        <x:v>行业标准</x:v>
      </x:c>
      <x:c r="P84" s="35" t="str">
        <x:v>现行版本（提交前建议再核验官方状态）</x:v>
      </x:c>
      <x:c r="Q84" s="35" t="str">
        <x:v>5.1.10</x:v>
      </x:c>
      <x:c r="R84" s="35" t="str">
        <x:v>5.1.10当安装屋架时，应在屋脊处设置扶梯。扶梯踏步间距不应大于400mm。屋架杆件安装时搭设的操作平台，应设置防护栏杆或使用作业人员拴挂安全带的安全绳</x:v>
      </x:c>
      <x:c r="S84" s="41" t="n">
        <x:v>17</x:v>
      </x:c>
      <x:c r="T84" s="44" t="n">
        <x:v>11</x:v>
      </x:c>
    </x:row>
    <x:row r="85" ht="56" customHeight="1">
      <x:c r="A85" s="40" t="str">
        <x:v>PD-017</x:v>
      </x:c>
      <x:c r="B85" s="41" t="str">
        <x:v>启用</x:v>
      </x:c>
      <x:c r="C85" s="35" t="str">
        <x:v>攀登作业</x:v>
      </x:c>
      <x:c r="D85" s="35" t="str">
        <x:v>梯具与上下通道</x:v>
      </x:c>
      <x:c r="E85" s="35" t="str">
        <x:v>人员通过梯具或通道上下时</x:v>
      </x:c>
      <x:c r="F85" s="35" t="str">
        <x:v>深基坑施工应设置扶梯、入坑踏步及专用载人设备或斜道等设施</x:v>
      </x:c>
      <x:c r="G85" s="35" t="str">
        <x:v>无明确数值；按文本要求判断</x:v>
      </x:c>
      <x:c r="H85" s="41" t="str">
        <x:v>应执行</x:v>
      </x:c>
      <x:c r="I85" s="35" t="str">
        <x:v>高处坠落；物体打击</x:v>
      </x:c>
      <x:c r="J85" s="41" t="str">
        <x:v>较大</x:v>
      </x:c>
      <x:c r="K85" s="35" t="str">
        <x:v>高处作业人员；安全员；施工员；班组长</x:v>
      </x:c>
      <x:c r="L85" s="35" t="str">
        <x:v>现场目视或影像检查</x:v>
      </x:c>
      <x:c r="M85" s="35" t="str">
        <x:v>建筑施工高处作业安全技术规范</x:v>
      </x:c>
      <x:c r="N85" s="35" t="str">
        <x:v>JGJ 80-2016</x:v>
      </x:c>
      <x:c r="O85" s="35" t="str">
        <x:v>行业标准</x:v>
      </x:c>
      <x:c r="P85" s="35" t="str">
        <x:v>现行版本（提交前建议再核验官方状态）</x:v>
      </x:c>
      <x:c r="Q85" s="35" t="str">
        <x:v>5.1.11</x:v>
      </x:c>
      <x:c r="R85" s="35" t="str">
        <x:v>5.1.11深基坑施工应设置扶梯、入坑踏步及专用载人设备或斜道等设施。采用斜道时，应加设间距不大于400mm的防滑条等防滑措施。作业人员严禁沿坑壁、支撑或乘运土工具上下</x:v>
      </x:c>
      <x:c r="S85" s="41" t="n">
        <x:v>17</x:v>
      </x:c>
      <x:c r="T85" s="44" t="n">
        <x:v>11</x:v>
      </x:c>
    </x:row>
    <x:row r="86" ht="56" customHeight="1">
      <x:c r="A86" s="40" t="str">
        <x:v>PD-018</x:v>
      </x:c>
      <x:c r="B86" s="41" t="str">
        <x:v>启用</x:v>
      </x:c>
      <x:c r="C86" s="35" t="str">
        <x:v>攀登作业</x:v>
      </x:c>
      <x:c r="D86" s="35" t="str">
        <x:v>梯具与上下通道</x:v>
      </x:c>
      <x:c r="E86" s="35" t="str">
        <x:v>采用斜道时</x:v>
      </x:c>
      <x:c r="F86" s="35" t="str">
        <x:v>采用斜道时，应加设间距不大于400mm的防滑条等防滑措施</x:v>
      </x:c>
      <x:c r="G86" s="35" t="str">
        <x:v>400mm</x:v>
      </x:c>
      <x:c r="H86" s="41" t="str">
        <x:v>应执行</x:v>
      </x:c>
      <x:c r="I86" s="35" t="str">
        <x:v>高处坠落；物体打击</x:v>
      </x:c>
      <x:c r="J86" s="41" t="str">
        <x:v>较大</x:v>
      </x:c>
      <x:c r="K86" s="35" t="str">
        <x:v>高处作业人员；安全员；施工员；班组长</x:v>
      </x:c>
      <x:c r="L86" s="35" t="str">
        <x:v>现场目视+尺寸/仪器测量</x:v>
      </x:c>
      <x:c r="M86" s="35" t="str">
        <x:v>建筑施工高处作业安全技术规范</x:v>
      </x:c>
      <x:c r="N86" s="35" t="str">
        <x:v>JGJ 80-2016</x:v>
      </x:c>
      <x:c r="O86" s="35" t="str">
        <x:v>行业标准</x:v>
      </x:c>
      <x:c r="P86" s="35" t="str">
        <x:v>现行版本（提交前建议再核验官方状态）</x:v>
      </x:c>
      <x:c r="Q86" s="35" t="str">
        <x:v>5.1.11</x:v>
      </x:c>
      <x:c r="R86" s="35" t="str">
        <x:v>5.1.11深基坑施工应设置扶梯、入坑踏步及专用载人设备或斜道等设施。采用斜道时，应加设间距不大于400mm的防滑条等防滑措施。作业人员严禁沿坑壁、支撑或乘运土工具上下</x:v>
      </x:c>
      <x:c r="S86" s="41" t="n">
        <x:v>17</x:v>
      </x:c>
      <x:c r="T86" s="44" t="n">
        <x:v>11</x:v>
      </x:c>
    </x:row>
    <x:row r="87" ht="56" customHeight="1">
      <x:c r="A87" s="40" t="str">
        <x:v>PD-019</x:v>
      </x:c>
      <x:c r="B87" s="41" t="str">
        <x:v>启用</x:v>
      </x:c>
      <x:c r="C87" s="35" t="str">
        <x:v>攀登作业</x:v>
      </x:c>
      <x:c r="D87" s="35" t="str">
        <x:v>梯具与上下通道</x:v>
      </x:c>
      <x:c r="E87" s="35" t="str">
        <x:v>人员通过梯具或通道上下时</x:v>
      </x:c>
      <x:c r="F87" s="35" t="str">
        <x:v>作业人员严禁沿坑壁、支撑或乘运土工具上下</x:v>
      </x:c>
      <x:c r="G87" s="35" t="str">
        <x:v>无明确数值；按文本要求判断</x:v>
      </x:c>
      <x:c r="H87" s="41" t="str">
        <x:v>禁止/不得</x:v>
      </x:c>
      <x:c r="I87" s="35" t="str">
        <x:v>高处坠落；物体打击</x:v>
      </x:c>
      <x:c r="J87" s="41" t="str">
        <x:v>重大</x:v>
      </x:c>
      <x:c r="K87" s="35" t="str">
        <x:v>高处作业人员；安全员；施工员；班组长</x:v>
      </x:c>
      <x:c r="L87" s="35" t="str">
        <x:v>现场检查+人工确认</x:v>
      </x:c>
      <x:c r="M87" s="35" t="str">
        <x:v>建筑施工高处作业安全技术规范</x:v>
      </x:c>
      <x:c r="N87" s="35" t="str">
        <x:v>JGJ 80-2016</x:v>
      </x:c>
      <x:c r="O87" s="35" t="str">
        <x:v>行业标准</x:v>
      </x:c>
      <x:c r="P87" s="35" t="str">
        <x:v>现行版本（提交前建议再核验官方状态）</x:v>
      </x:c>
      <x:c r="Q87" s="35" t="str">
        <x:v>5.1.11</x:v>
      </x:c>
      <x:c r="R87" s="35" t="str">
        <x:v>5.1.11深基坑施工应设置扶梯、入坑踏步及专用载人设备或斜道等设施。采用斜道时，应加设间距不大于400mm的防滑条等防滑措施。作业人员严禁沿坑壁、支撑或乘运土工具上下</x:v>
      </x:c>
      <x:c r="S87" s="41" t="n">
        <x:v>17</x:v>
      </x:c>
      <x:c r="T87" s="44" t="n">
        <x:v>11</x:v>
      </x:c>
    </x:row>
    <x:row r="88" ht="56" customHeight="1">
      <x:c r="A88" s="40" t="str">
        <x:v>XK-001</x:v>
      </x:c>
      <x:c r="B88" s="41" t="str">
        <x:v>启用</x:v>
      </x:c>
      <x:c r="C88" s="35" t="str">
        <x:v>悬空作业</x:v>
      </x:c>
      <x:c r="D88" s="35" t="str">
        <x:v>吊装、模板、钢筋、混凝土、屋面或外墙作业</x:v>
      </x:c>
      <x:c r="E88" s="35" t="str">
        <x:v>人员无稳定立足面进行高处作业时</x:v>
      </x:c>
      <x:c r="F88" s="35" t="str">
        <x:v>悬空作业的立足处的设置应稳固，并应配置登高和防坠落装置和设施</x:v>
      </x:c>
      <x:c r="G88" s="35" t="str">
        <x:v>无明确数值；按文本要求判断</x:v>
      </x:c>
      <x:c r="H88" s="41" t="str">
        <x:v>应执行</x:v>
      </x:c>
      <x:c r="I88" s="35" t="str">
        <x:v>高处坠落；物体打击</x:v>
      </x:c>
      <x:c r="J88" s="41" t="str">
        <x:v>较大</x:v>
      </x:c>
      <x:c r="K88" s="35" t="str">
        <x:v>高处作业人员；安全员；施工员；班组长</x:v>
      </x:c>
      <x:c r="L88" s="35" t="str">
        <x:v>现场目视或影像检查</x:v>
      </x:c>
      <x:c r="M88" s="35" t="str">
        <x:v>建筑施工高处作业安全技术规范</x:v>
      </x:c>
      <x:c r="N88" s="35" t="str">
        <x:v>JGJ 80-2016</x:v>
      </x:c>
      <x:c r="O88" s="35" t="str">
        <x:v>行业标准</x:v>
      </x:c>
      <x:c r="P88" s="35" t="str">
        <x:v>现行版本（提交前建议再核验官方状态）</x:v>
      </x:c>
      <x:c r="Q88" s="35" t="str">
        <x:v>5.2.1</x:v>
      </x:c>
      <x:c r="R88" s="35" t="str">
        <x:v>5.2.1悬空作业的立足处的设置应稳固，并应配置登高和防坠落装置和设施</x:v>
      </x:c>
      <x:c r="S88" s="41" t="n">
        <x:v>17</x:v>
      </x:c>
      <x:c r="T88" s="44" t="n">
        <x:v>11</x:v>
      </x:c>
    </x:row>
    <x:row r="89" ht="56" customHeight="1">
      <x:c r="A89" s="40" t="str">
        <x:v>XK-002</x:v>
      </x:c>
      <x:c r="B89" s="41" t="str">
        <x:v>启用</x:v>
      </x:c>
      <x:c r="C89" s="35" t="str">
        <x:v>悬空作业</x:v>
      </x:c>
      <x:c r="D89" s="35" t="str">
        <x:v>吊装、模板、钢筋、混凝土、屋面或外墙作业</x:v>
      </x:c>
      <x:c r="E89" s="35" t="str">
        <x:v>人员无稳定立足面进行高处作业时</x:v>
      </x:c>
      <x:c r="F89" s="35" t="str">
        <x:v>钢结构吊装，构件宜在地面组装，安全设施应一并设置</x:v>
      </x:c>
      <x:c r="G89" s="35" t="str">
        <x:v>无明确数值；按文本要求判断</x:v>
      </x:c>
      <x:c r="H89" s="41" t="str">
        <x:v>应执行</x:v>
      </x:c>
      <x:c r="I89" s="35" t="str">
        <x:v>高处坠落；物体打击</x:v>
      </x:c>
      <x:c r="J89" s="41" t="str">
        <x:v>较大</x:v>
      </x:c>
      <x:c r="K89" s="35" t="str">
        <x:v>高处作业人员；安全员；施工员；班组长</x:v>
      </x:c>
      <x:c r="L89" s="35" t="str">
        <x:v>现场目视或影像检查</x:v>
      </x:c>
      <x:c r="M89" s="35" t="str">
        <x:v>建筑施工高处作业安全技术规范</x:v>
      </x:c>
      <x:c r="N89" s="35" t="str">
        <x:v>JGJ 80-2016</x:v>
      </x:c>
      <x:c r="O89" s="35" t="str">
        <x:v>行业标准</x:v>
      </x:c>
      <x:c r="P89" s="35" t="str">
        <x:v>现行版本（提交前建议再核验官方状态）</x:v>
      </x:c>
      <x:c r="Q89" s="35" t="str">
        <x:v>5.2.2</x:v>
      </x:c>
      <x:c r="R89" s="35" t="str">
        <x:v>5.2.2构件吊装和管道安装时的悬空作业应符合下列规定：1钢结构吊装，构件宜在地面组装，安全设施应一并设置；2吊装钢筋混凝土屋架、梁、柱等大型构件前，应在构件上预先设置登高通道、操作立足点等安全设施；3在高空安装大模板、吊装第一块预制构件或单独的大中型预制构件时，应站在作业平台上操作：&gt;4钢结构安装施工宜在施工层搭设水平通道，水平通道两侧应设置防护栏杆；当利用钢梁作为水平通道时，应在钢梁一侧设置连续的安全绳，安全绳宜采用钢丝绳；5钢结构、管道等安装施工的安全防护宜采用工具化、定型化设施</x:v>
      </x:c>
      <x:c r="S89" s="41" t="n">
        <x:v>17</x:v>
      </x:c>
      <x:c r="T89" s="44" t="n">
        <x:v>11</x:v>
      </x:c>
    </x:row>
    <x:row r="90" ht="56" customHeight="1">
      <x:c r="A90" s="40" t="str">
        <x:v>XK-003</x:v>
      </x:c>
      <x:c r="B90" s="41" t="str">
        <x:v>启用</x:v>
      </x:c>
      <x:c r="C90" s="35" t="str">
        <x:v>悬空作业</x:v>
      </x:c>
      <x:c r="D90" s="35" t="str">
        <x:v>吊装、模板、钢筋、混凝土、屋面或外墙作业</x:v>
      </x:c>
      <x:c r="E90" s="35" t="str">
        <x:v>人员无稳定立足面进行高处作业时</x:v>
      </x:c>
      <x:c r="F90" s="35" t="str">
        <x:v>吊装钢筋混凝土屋架、梁、柱等大型构件前，应在构件上预先设置登高通道、操作立足点等安全设施</x:v>
      </x:c>
      <x:c r="G90" s="35" t="str">
        <x:v>无明确数值；按文本要求判断</x:v>
      </x:c>
      <x:c r="H90" s="41" t="str">
        <x:v>应执行</x:v>
      </x:c>
      <x:c r="I90" s="35" t="str">
        <x:v>高处坠落；物体打击</x:v>
      </x:c>
      <x:c r="J90" s="41" t="str">
        <x:v>较大</x:v>
      </x:c>
      <x:c r="K90" s="35" t="str">
        <x:v>高处作业人员；安全员；施工员；班组长</x:v>
      </x:c>
      <x:c r="L90" s="35" t="str">
        <x:v>现场目视或影像检查</x:v>
      </x:c>
      <x:c r="M90" s="35" t="str">
        <x:v>建筑施工高处作业安全技术规范</x:v>
      </x:c>
      <x:c r="N90" s="35" t="str">
        <x:v>JGJ 80-2016</x:v>
      </x:c>
      <x:c r="O90" s="35" t="str">
        <x:v>行业标准</x:v>
      </x:c>
      <x:c r="P90" s="35" t="str">
        <x:v>现行版本（提交前建议再核验官方状态）</x:v>
      </x:c>
      <x:c r="Q90" s="35" t="str">
        <x:v>5.2.2</x:v>
      </x:c>
      <x:c r="R90" s="35" t="str">
        <x:v>5.2.2构件吊装和管道安装时的悬空作业应符合下列规定：1钢结构吊装，构件宜在地面组装，安全设施应一并设置；2吊装钢筋混凝土屋架、梁、柱等大型构件前，应在构件上预先设置登高通道、操作立足点等安全设施；3在高空安装大模板、吊装第一块预制构件或单独的大中型预制构件时，应站在作业平台上操作：&gt;4钢结构安装施工宜在施工层搭设水平通道，水平通道两侧应设置防护栏杆；当利用钢梁作为水平通道时，应在钢梁一侧设置连续的安全绳，安全绳宜采用钢丝绳；5钢结构、管道等安装施工的安全防护宜采用工具化、定型化设施</x:v>
      </x:c>
      <x:c r="S90" s="41" t="n">
        <x:v>17</x:v>
      </x:c>
      <x:c r="T90" s="44" t="n">
        <x:v>11</x:v>
      </x:c>
    </x:row>
    <x:row r="91" ht="56" customHeight="1">
      <x:c r="A91" s="40" t="str">
        <x:v>XK-004</x:v>
      </x:c>
      <x:c r="B91" s="41" t="str">
        <x:v>启用</x:v>
      </x:c>
      <x:c r="C91" s="35" t="str">
        <x:v>悬空作业</x:v>
      </x:c>
      <x:c r="D91" s="35" t="str">
        <x:v>吊装、模板、钢筋、混凝土、屋面或外墙作业</x:v>
      </x:c>
      <x:c r="E91" s="35" t="str">
        <x:v>在高空安装大模板、吊装第一块预制构件或单独的大中型预制构件时</x:v>
      </x:c>
      <x:c r="F91" s="35" t="str">
        <x:v>在高空安装大模板、吊装第一块预制构件或单独的大中型预制构件时，应站在作业平台上操作：&gt;</x:v>
      </x:c>
      <x:c r="G91" s="35" t="str">
        <x:v>无明确数值；按文本要求判断</x:v>
      </x:c>
      <x:c r="H91" s="41" t="str">
        <x:v>应执行</x:v>
      </x:c>
      <x:c r="I91" s="35" t="str">
        <x:v>高处坠落；物体打击</x:v>
      </x:c>
      <x:c r="J91" s="41" t="str">
        <x:v>较大</x:v>
      </x:c>
      <x:c r="K91" s="35" t="str">
        <x:v>高处作业人员；安全员；施工员；班组长</x:v>
      </x:c>
      <x:c r="L91" s="35" t="str">
        <x:v>现场检查+人工确认</x:v>
      </x:c>
      <x:c r="M91" s="35" t="str">
        <x:v>建筑施工高处作业安全技术规范</x:v>
      </x:c>
      <x:c r="N91" s="35" t="str">
        <x:v>JGJ 80-2016</x:v>
      </x:c>
      <x:c r="O91" s="35" t="str">
        <x:v>行业标准</x:v>
      </x:c>
      <x:c r="P91" s="35" t="str">
        <x:v>现行版本（提交前建议再核验官方状态）</x:v>
      </x:c>
      <x:c r="Q91" s="35" t="str">
        <x:v>5.2.2</x:v>
      </x:c>
      <x:c r="R91" s="35" t="str">
        <x:v>5.2.2构件吊装和管道安装时的悬空作业应符合下列规定：1钢结构吊装，构件宜在地面组装，安全设施应一并设置；2吊装钢筋混凝土屋架、梁、柱等大型构件前，应在构件上预先设置登高通道、操作立足点等安全设施；3在高空安装大模板、吊装第一块预制构件或单独的大中型预制构件时，应站在作业平台上操作：&gt;4钢结构安装施工宜在施工层搭设水平通道，水平通道两侧应设置防护栏杆；当利用钢梁作为水平通道时，应在钢梁一侧设置连续的安全绳，安全绳宜采用钢丝绳；5钢结构、管道等安装施工的安全防护宜采用工具化、定型化设施</x:v>
      </x:c>
      <x:c r="S91" s="41" t="n">
        <x:v>17</x:v>
      </x:c>
      <x:c r="T91" s="44" t="n">
        <x:v>11</x:v>
      </x:c>
    </x:row>
    <x:row r="92" ht="56" customHeight="1">
      <x:c r="A92" s="40" t="str">
        <x:v>XK-005</x:v>
      </x:c>
      <x:c r="B92" s="41" t="str">
        <x:v>启用</x:v>
      </x:c>
      <x:c r="C92" s="35" t="str">
        <x:v>悬空作业</x:v>
      </x:c>
      <x:c r="D92" s="35" t="str">
        <x:v>吊装、模板、钢筋、混凝土、屋面或外墙作业</x:v>
      </x:c>
      <x:c r="E92" s="35" t="str">
        <x:v>人员无稳定立足面进行高处作业时</x:v>
      </x:c>
      <x:c r="F92" s="35" t="str">
        <x:v>钢结构安装施工宜在施工层搭设水平通道，水平通道两侧应设置防护栏杆</x:v>
      </x:c>
      <x:c r="G92" s="35" t="str">
        <x:v>无明确数值；按文本要求判断</x:v>
      </x:c>
      <x:c r="H92" s="41" t="str">
        <x:v>应执行</x:v>
      </x:c>
      <x:c r="I92" s="35" t="str">
        <x:v>高处坠落；物体打击</x:v>
      </x:c>
      <x:c r="J92" s="41" t="str">
        <x:v>较大</x:v>
      </x:c>
      <x:c r="K92" s="35" t="str">
        <x:v>高处作业人员；安全员；施工员；班组长</x:v>
      </x:c>
      <x:c r="L92" s="35" t="str">
        <x:v>现场目视或影像检查</x:v>
      </x:c>
      <x:c r="M92" s="35" t="str">
        <x:v>建筑施工高处作业安全技术规范</x:v>
      </x:c>
      <x:c r="N92" s="35" t="str">
        <x:v>JGJ 80-2016</x:v>
      </x:c>
      <x:c r="O92" s="35" t="str">
        <x:v>行业标准</x:v>
      </x:c>
      <x:c r="P92" s="35" t="str">
        <x:v>现行版本（提交前建议再核验官方状态）</x:v>
      </x:c>
      <x:c r="Q92" s="35" t="str">
        <x:v>5.2.2</x:v>
      </x:c>
      <x:c r="R92" s="35" t="str">
        <x:v>5.2.2构件吊装和管道安装时的悬空作业应符合下列规定：1钢结构吊装，构件宜在地面组装，安全设施应一并设置；2吊装钢筋混凝土屋架、梁、柱等大型构件前，应在构件上预先设置登高通道、操作立足点等安全设施；3在高空安装大模板、吊装第一块预制构件或单独的大中型预制构件时，应站在作业平台上操作：&gt;4钢结构安装施工宜在施工层搭设水平通道，水平通道两侧应设置防护栏杆；当利用钢梁作为水平通道时，应在钢梁一侧设置连续的安全绳，安全绳宜采用钢丝绳；5钢结构、管道等安装施工的安全防护宜采用工具化、定型化设施</x:v>
      </x:c>
      <x:c r="S92" s="41" t="n">
        <x:v>17</x:v>
      </x:c>
      <x:c r="T92" s="44" t="n">
        <x:v>11</x:v>
      </x:c>
    </x:row>
    <x:row r="93" ht="56" customHeight="1">
      <x:c r="A93" s="40" t="str">
        <x:v>XK-006</x:v>
      </x:c>
      <x:c r="B93" s="41" t="str">
        <x:v>启用</x:v>
      </x:c>
      <x:c r="C93" s="35" t="str">
        <x:v>悬空作业</x:v>
      </x:c>
      <x:c r="D93" s="35" t="str">
        <x:v>吊装、模板、钢筋、混凝土、屋面或外墙作业</x:v>
      </x:c>
      <x:c r="E93" s="35" t="str">
        <x:v>当利用钢梁作为水平通道时</x:v>
      </x:c>
      <x:c r="F93" s="35" t="str">
        <x:v>当利用钢梁作为水平通道时，应在钢梁一侧设置连续的安全绳，安全绳宜采用钢丝绳</x:v>
      </x:c>
      <x:c r="G93" s="35" t="str">
        <x:v>无明确数值；按文本要求判断</x:v>
      </x:c>
      <x:c r="H93" s="41" t="str">
        <x:v>应执行</x:v>
      </x:c>
      <x:c r="I93" s="35" t="str">
        <x:v>高处坠落；物体打击</x:v>
      </x:c>
      <x:c r="J93" s="41" t="str">
        <x:v>较大</x:v>
      </x:c>
      <x:c r="K93" s="35" t="str">
        <x:v>高处作业人员；安全员；施工员；班组长</x:v>
      </x:c>
      <x:c r="L93" s="35" t="str">
        <x:v>现场目视或影像检查</x:v>
      </x:c>
      <x:c r="M93" s="35" t="str">
        <x:v>建筑施工高处作业安全技术规范</x:v>
      </x:c>
      <x:c r="N93" s="35" t="str">
        <x:v>JGJ 80-2016</x:v>
      </x:c>
      <x:c r="O93" s="35" t="str">
        <x:v>行业标准</x:v>
      </x:c>
      <x:c r="P93" s="35" t="str">
        <x:v>现行版本（提交前建议再核验官方状态）</x:v>
      </x:c>
      <x:c r="Q93" s="35" t="str">
        <x:v>5.2.2</x:v>
      </x:c>
      <x:c r="R93" s="35" t="str">
        <x:v>5.2.2构件吊装和管道安装时的悬空作业应符合下列规定：1钢结构吊装，构件宜在地面组装，安全设施应一并设置；2吊装钢筋混凝土屋架、梁、柱等大型构件前，应在构件上预先设置登高通道、操作立足点等安全设施；3在高空安装大模板、吊装第一块预制构件或单独的大中型预制构件时，应站在作业平台上操作：&gt;4钢结构安装施工宜在施工层搭设水平通道，水平通道两侧应设置防护栏杆；当利用钢梁作为水平通道时，应在钢梁一侧设置连续的安全绳，安全绳宜采用钢丝绳；5钢结构、管道等安装施工的安全防护宜采用工具化、定型化设施</x:v>
      </x:c>
      <x:c r="S93" s="41" t="n">
        <x:v>17</x:v>
      </x:c>
      <x:c r="T93" s="44" t="n">
        <x:v>11</x:v>
      </x:c>
    </x:row>
    <x:row r="94" ht="56" customHeight="1">
      <x:c r="A94" s="40" t="str">
        <x:v>XK-007</x:v>
      </x:c>
      <x:c r="B94" s="41" t="str">
        <x:v>启用</x:v>
      </x:c>
      <x:c r="C94" s="35" t="str">
        <x:v>悬空作业</x:v>
      </x:c>
      <x:c r="D94" s="35" t="str">
        <x:v>吊装、模板、钢筋、混凝土、屋面或外墙作业</x:v>
      </x:c>
      <x:c r="E94" s="35" t="str">
        <x:v>人员无稳定立足面进行高处作业时</x:v>
      </x:c>
      <x:c r="F94" s="35" t="str">
        <x:v>钢结构、管道等安装施工的安全防护宜采用工具化、定型化设施</x:v>
      </x:c>
      <x:c r="G94" s="35" t="str">
        <x:v>无明确数值；按文本要求判断</x:v>
      </x:c>
      <x:c r="H94" s="41" t="str">
        <x:v>推荐/允许</x:v>
      </x:c>
      <x:c r="I94" s="35" t="str">
        <x:v>高处坠落；物体打击</x:v>
      </x:c>
      <x:c r="J94" s="41" t="str">
        <x:v>较大</x:v>
      </x:c>
      <x:c r="K94" s="35" t="str">
        <x:v>高处作业人员；安全员；施工员；班组长</x:v>
      </x:c>
      <x:c r="L94" s="35" t="str">
        <x:v>现场检查+人工确认</x:v>
      </x:c>
      <x:c r="M94" s="35" t="str">
        <x:v>建筑施工高处作业安全技术规范</x:v>
      </x:c>
      <x:c r="N94" s="35" t="str">
        <x:v>JGJ 80-2016</x:v>
      </x:c>
      <x:c r="O94" s="35" t="str">
        <x:v>行业标准</x:v>
      </x:c>
      <x:c r="P94" s="35" t="str">
        <x:v>现行版本（提交前建议再核验官方状态）</x:v>
      </x:c>
      <x:c r="Q94" s="35" t="str">
        <x:v>5.2.2</x:v>
      </x:c>
      <x:c r="R94" s="35" t="str">
        <x:v>5.2.2构件吊装和管道安装时的悬空作业应符合下列规定：1钢结构吊装，构件宜在地面组装，安全设施应一并设置；2吊装钢筋混凝土屋架、梁、柱等大型构件前，应在构件上预先设置登高通道、操作立足点等安全设施；3在高空安装大模板、吊装第一块预制构件或单独的大中型预制构件时，应站在作业平台上操作：&gt;4钢结构安装施工宜在施工层搭设水平通道，水平通道两侧应设置防护栏杆；当利用钢梁作为水平通道时，应在钢梁一侧设置连续的安全绳，安全绳宜采用钢丝绳；5钢结构、管道等安装施工的安全防护宜采用工具化、定型化设施</x:v>
      </x:c>
      <x:c r="S94" s="41" t="n">
        <x:v>17</x:v>
      </x:c>
      <x:c r="T94" s="44" t="n">
        <x:v>11</x:v>
      </x:c>
    </x:row>
    <x:row r="95" ht="56" customHeight="1">
      <x:c r="A95" s="40" t="str">
        <x:v>XK-008</x:v>
      </x:c>
      <x:c r="B95" s="41" t="str">
        <x:v>启用</x:v>
      </x:c>
      <x:c r="C95" s="35" t="str">
        <x:v>悬空作业</x:v>
      </x:c>
      <x:c r="D95" s="35" t="str">
        <x:v>吊装、模板、钢筋、混凝土、屋面或外墙作业</x:v>
      </x:c>
      <x:c r="E95" s="35" t="str">
        <x:v>人员无稳定立足面进行高处作业时</x:v>
      </x:c>
      <x:c r="F95" s="35" t="str">
        <x:v>严禁在未固定、无防护设施的构件及管道上进行作业或通行</x:v>
      </x:c>
      <x:c r="G95" s="35" t="str">
        <x:v>无明确数值；按文本要求判断</x:v>
      </x:c>
      <x:c r="H95" s="41" t="str">
        <x:v>禁止/不得</x:v>
      </x:c>
      <x:c r="I95" s="35" t="str">
        <x:v>高处坠落；物体打击</x:v>
      </x:c>
      <x:c r="J95" s="41" t="str">
        <x:v>重大</x:v>
      </x:c>
      <x:c r="K95" s="35" t="str">
        <x:v>高处作业人员；安全员；施工员；班组长</x:v>
      </x:c>
      <x:c r="L95" s="35" t="str">
        <x:v>现场检查+人工确认</x:v>
      </x:c>
      <x:c r="M95" s="35" t="str">
        <x:v>建筑施工高处作业安全技术规范</x:v>
      </x:c>
      <x:c r="N95" s="35" t="str">
        <x:v>JGJ 80-2016</x:v>
      </x:c>
      <x:c r="O95" s="35" t="str">
        <x:v>行业标准</x:v>
      </x:c>
      <x:c r="P95" s="35" t="str">
        <x:v>现行版本（提交前建议再核验官方状态）</x:v>
      </x:c>
      <x:c r="Q95" s="35" t="str">
        <x:v>5.2.3</x:v>
      </x:c>
      <x:c r="R95" s="35" t="str">
        <x:v>5.2.3严禁在未固定、无防护设施的构件及管道上进行作业或通行</x:v>
      </x:c>
      <x:c r="S95" s="41" t="n">
        <x:v>17</x:v>
      </x:c>
      <x:c r="T95" s="44" t="n">
        <x:v>11</x:v>
      </x:c>
    </x:row>
    <x:row r="96" ht="56" customHeight="1">
      <x:c r="A96" s="40" t="str">
        <x:v>XK-009</x:v>
      </x:c>
      <x:c r="B96" s="41" t="str">
        <x:v>启用</x:v>
      </x:c>
      <x:c r="C96" s="35" t="str">
        <x:v>悬空作业</x:v>
      </x:c>
      <x:c r="D96" s="35" t="str">
        <x:v>吊装、模板、钢筋、混凝土、屋面或外墙作业</x:v>
      </x:c>
      <x:c r="E96" s="35" t="str">
        <x:v>当利用吊车梁等构件作为水平通道时</x:v>
      </x:c>
      <x:c r="F96" s="35" t="str">
        <x:v>当利用吊车梁等构件作为水平通道时，临空面的一侧应设置连续的栏杆等防护措施</x:v>
      </x:c>
      <x:c r="G96" s="35" t="str">
        <x:v>无明确数值；按文本要求判断</x:v>
      </x:c>
      <x:c r="H96" s="41" t="str">
        <x:v>应执行</x:v>
      </x:c>
      <x:c r="I96" s="35" t="str">
        <x:v>高处坠落；物体打击</x:v>
      </x:c>
      <x:c r="J96" s="41" t="str">
        <x:v>较大</x:v>
      </x:c>
      <x:c r="K96" s="35" t="str">
        <x:v>高处作业人员；安全员；施工员；班组长</x:v>
      </x:c>
      <x:c r="L96" s="35" t="str">
        <x:v>现场目视或影像检查</x:v>
      </x:c>
      <x:c r="M96" s="35" t="str">
        <x:v>建筑施工高处作业安全技术规范</x:v>
      </x:c>
      <x:c r="N96" s="35" t="str">
        <x:v>JGJ 80-2016</x:v>
      </x:c>
      <x:c r="O96" s="35" t="str">
        <x:v>行业标准</x:v>
      </x:c>
      <x:c r="P96" s="35" t="str">
        <x:v>现行版本（提交前建议再核验官方状态）</x:v>
      </x:c>
      <x:c r="Q96" s="35" t="str">
        <x:v>5.2.4</x:v>
      </x:c>
      <x:c r="R96" s="35" t="str">
        <x:v>5.2.4当利用吊车梁等构件作为水平通道时，临空面的一侧应设置连续的栏杆等防护措施。当安全绳为钢索时，钢索的一端应采用花篮螺栓收紧；当安全绳为钢丝绳时，钢丝绳的自然下垂度不应大于绳长的1/20，并不应大于100mm</x:v>
      </x:c>
      <x:c r="S96" s="41" t="n">
        <x:v>17</x:v>
      </x:c>
      <x:c r="T96" s="44" t="n">
        <x:v>11</x:v>
      </x:c>
    </x:row>
    <x:row r="97" ht="56" customHeight="1">
      <x:c r="A97" s="40" t="str">
        <x:v>XK-010</x:v>
      </x:c>
      <x:c r="B97" s="41" t="str">
        <x:v>启用</x:v>
      </x:c>
      <x:c r="C97" s="35" t="str">
        <x:v>悬空作业</x:v>
      </x:c>
      <x:c r="D97" s="35" t="str">
        <x:v>吊装、模板、钢筋、混凝土、屋面或外墙作业</x:v>
      </x:c>
      <x:c r="E97" s="35" t="str">
        <x:v>当安全绳为钢索时</x:v>
      </x:c>
      <x:c r="F97" s="35" t="str">
        <x:v>当安全绳为钢索时，钢索的一端应采用花篮螺栓收紧</x:v>
      </x:c>
      <x:c r="G97" s="35" t="str">
        <x:v>无明确数值；按文本要求判断</x:v>
      </x:c>
      <x:c r="H97" s="41" t="str">
        <x:v>应执行</x:v>
      </x:c>
      <x:c r="I97" s="35" t="str">
        <x:v>高处坠落；物体打击</x:v>
      </x:c>
      <x:c r="J97" s="41" t="str">
        <x:v>较大</x:v>
      </x:c>
      <x:c r="K97" s="35" t="str">
        <x:v>高处作业人员；安全员；施工员；班组长</x:v>
      </x:c>
      <x:c r="L97" s="35" t="str">
        <x:v>现场检查+人工确认</x:v>
      </x:c>
      <x:c r="M97" s="35" t="str">
        <x:v>建筑施工高处作业安全技术规范</x:v>
      </x:c>
      <x:c r="N97" s="35" t="str">
        <x:v>JGJ 80-2016</x:v>
      </x:c>
      <x:c r="O97" s="35" t="str">
        <x:v>行业标准</x:v>
      </x:c>
      <x:c r="P97" s="35" t="str">
        <x:v>现行版本（提交前建议再核验官方状态）</x:v>
      </x:c>
      <x:c r="Q97" s="35" t="str">
        <x:v>5.2.4</x:v>
      </x:c>
      <x:c r="R97" s="35" t="str">
        <x:v>5.2.4当利用吊车梁等构件作为水平通道时，临空面的一侧应设置连续的栏杆等防护措施。当安全绳为钢索时，钢索的一端应采用花篮螺栓收紧；当安全绳为钢丝绳时，钢丝绳的自然下垂度不应大于绳长的1/20，并不应大于100mm</x:v>
      </x:c>
      <x:c r="S97" s="41" t="n">
        <x:v>17</x:v>
      </x:c>
      <x:c r="T97" s="44" t="n">
        <x:v>11</x:v>
      </x:c>
    </x:row>
    <x:row r="98" ht="56" customHeight="1">
      <x:c r="A98" s="40" t="str">
        <x:v>XK-011</x:v>
      </x:c>
      <x:c r="B98" s="41" t="str">
        <x:v>启用</x:v>
      </x:c>
      <x:c r="C98" s="35" t="str">
        <x:v>悬空作业</x:v>
      </x:c>
      <x:c r="D98" s="35" t="str">
        <x:v>吊装、模板、钢筋、混凝土、屋面或外墙作业</x:v>
      </x:c>
      <x:c r="E98" s="35" t="str">
        <x:v>当安全绳为钢丝绳时</x:v>
      </x:c>
      <x:c r="F98" s="35" t="str">
        <x:v>当安全绳为钢丝绳时，钢丝绳的自然下垂度不应大于绳长的1/20，并不应大于100mm</x:v>
      </x:c>
      <x:c r="G98" s="35" t="str">
        <x:v>100mm；1/20</x:v>
      </x:c>
      <x:c r="H98" s="41" t="str">
        <x:v>禁止/不得</x:v>
      </x:c>
      <x:c r="I98" s="35" t="str">
        <x:v>高处坠落；物体打击</x:v>
      </x:c>
      <x:c r="J98" s="41" t="str">
        <x:v>重大</x:v>
      </x:c>
      <x:c r="K98" s="35" t="str">
        <x:v>高处作业人员；安全员；施工员；班组长</x:v>
      </x:c>
      <x:c r="L98" s="35" t="str">
        <x:v>现场目视+尺寸/仪器测量</x:v>
      </x:c>
      <x:c r="M98" s="35" t="str">
        <x:v>建筑施工高处作业安全技术规范</x:v>
      </x:c>
      <x:c r="N98" s="35" t="str">
        <x:v>JGJ 80-2016</x:v>
      </x:c>
      <x:c r="O98" s="35" t="str">
        <x:v>行业标准</x:v>
      </x:c>
      <x:c r="P98" s="35" t="str">
        <x:v>现行版本（提交前建议再核验官方状态）</x:v>
      </x:c>
      <x:c r="Q98" s="35" t="str">
        <x:v>5.2.4</x:v>
      </x:c>
      <x:c r="R98" s="35" t="str">
        <x:v>5.2.4当利用吊车梁等构件作为水平通道时，临空面的一侧应设置连续的栏杆等防护措施。当安全绳为钢索时，钢索的一端应采用花篮螺栓收紧；当安全绳为钢丝绳时，钢丝绳的自然下垂度不应大于绳长的1/20，并不应大于100mm</x:v>
      </x:c>
      <x:c r="S98" s="41" t="n">
        <x:v>17</x:v>
      </x:c>
      <x:c r="T98" s="44" t="n">
        <x:v>11</x:v>
      </x:c>
    </x:row>
    <x:row r="99" ht="56" customHeight="1">
      <x:c r="A99" s="40" t="str">
        <x:v>XK-012</x:v>
      </x:c>
      <x:c r="B99" s="41" t="str">
        <x:v>启用</x:v>
      </x:c>
      <x:c r="C99" s="35" t="str">
        <x:v>悬空作业</x:v>
      </x:c>
      <x:c r="D99" s="35" t="str">
        <x:v>吊装、模板、钢筋、混凝土、屋面或外墙作业</x:v>
      </x:c>
      <x:c r="E99" s="35" t="str">
        <x:v>人员无稳定立足面进行高处作业时</x:v>
      </x:c>
      <x:c r="F99" s="35" t="str">
        <x:v>模板支撑的搭设和拆卸应按规定程序进行，不得在上下同一垂直面上同时装拆模板</x:v>
      </x:c>
      <x:c r="G99" s="35" t="str">
        <x:v>无明确数值；按文本要求判断</x:v>
      </x:c>
      <x:c r="H99" s="41" t="str">
        <x:v>禁止/不得</x:v>
      </x:c>
      <x:c r="I99" s="35" t="str">
        <x:v>高处坠落；物体打击</x:v>
      </x:c>
      <x:c r="J99" s="41" t="str">
        <x:v>重大</x:v>
      </x:c>
      <x:c r="K99" s="35" t="str">
        <x:v>高处作业人员；安全员；施工员；班组长</x:v>
      </x:c>
      <x:c r="L99" s="35" t="str">
        <x:v>现场检查+人工确认</x:v>
      </x:c>
      <x:c r="M99" s="35" t="str">
        <x:v>建筑施工高处作业安全技术规范</x:v>
      </x:c>
      <x:c r="N99" s="35" t="str">
        <x:v>JGJ 80-2016</x:v>
      </x:c>
      <x:c r="O99" s="35" t="str">
        <x:v>行业标准</x:v>
      </x:c>
      <x:c r="P99" s="35" t="str">
        <x:v>现行版本（提交前建议再核验官方状态）</x:v>
      </x:c>
      <x:c r="Q99" s="35" t="str">
        <x:v>5.2.5</x:v>
      </x:c>
      <x:c r="R99" s="35" t="str">
        <x:v>5.2.5模板支撑体系搭设和拆卸的悬空作业，应符合下列规定：1模板支撑的搭设和拆卸应按规定程序进行，不得在上下同一垂直面上同时装拆模板；112在坠落基准面2m及以上高处搭设与拆除柱模板及悬挑结构的模板时，应设置操作平台；3在进行高处拆模作业时应配置登高用具或搭设支架</x:v>
      </x:c>
      <x:c r="S99" s="41" t="n">
        <x:v>17</x:v>
      </x:c>
      <x:c r="T99" s="44" t="n">
        <x:v>11</x:v>
      </x:c>
    </x:row>
    <x:row r="100" ht="56" customHeight="1">
      <x:c r="A100" s="40" t="str">
        <x:v>XK-013</x:v>
      </x:c>
      <x:c r="B100" s="41" t="str">
        <x:v>启用</x:v>
      </x:c>
      <x:c r="C100" s="35" t="str">
        <x:v>悬空作业</x:v>
      </x:c>
      <x:c r="D100" s="35" t="str">
        <x:v>吊装、模板、钢筋、混凝土、屋面或外墙作业</x:v>
      </x:c>
      <x:c r="E100" s="35" t="str">
        <x:v>在坠落基准面2m及以上高处搭设与拆除柱模板及悬挑结构的模板时</x:v>
      </x:c>
      <x:c r="F100" s="35" t="str">
        <x:v>在坠落基准面2m及以上高处搭设与拆除柱模板及悬挑结构的模板时，应设置操作平台</x:v>
      </x:c>
      <x:c r="G100" s="35" t="str">
        <x:v>2m</x:v>
      </x:c>
      <x:c r="H100" s="41" t="str">
        <x:v>应执行</x:v>
      </x:c>
      <x:c r="I100" s="35" t="str">
        <x:v>高处坠落；物体打击</x:v>
      </x:c>
      <x:c r="J100" s="41" t="str">
        <x:v>较大</x:v>
      </x:c>
      <x:c r="K100" s="35" t="str">
        <x:v>高处作业人员；安全员；施工员；班组长</x:v>
      </x:c>
      <x:c r="L100" s="35" t="str">
        <x:v>现场目视+尺寸/仪器测量</x:v>
      </x:c>
      <x:c r="M100" s="35" t="str">
        <x:v>建筑施工高处作业安全技术规范</x:v>
      </x:c>
      <x:c r="N100" s="35" t="str">
        <x:v>JGJ 80-2016</x:v>
      </x:c>
      <x:c r="O100" s="35" t="str">
        <x:v>行业标准</x:v>
      </x:c>
      <x:c r="P100" s="35" t="str">
        <x:v>现行版本（提交前建议再核验官方状态）</x:v>
      </x:c>
      <x:c r="Q100" s="35" t="str">
        <x:v>5.2.5</x:v>
      </x:c>
      <x:c r="R100" s="35" t="str">
        <x:v>5.2.5模板支撑体系搭设和拆卸的悬空作业，应符合下列规定：1模板支撑的搭设和拆卸应按规定程序进行，不得在上下同一垂直面上同时装拆模板；112在坠落基准面2m及以上高处搭设与拆除柱模板及悬挑结构的模板时，应设置操作平台；3在进行高处拆模作业时应配置登高用具或搭设支架</x:v>
      </x:c>
      <x:c r="S100" s="41" t="n">
        <x:v>17</x:v>
      </x:c>
      <x:c r="T100" s="44" t="n">
        <x:v>11</x:v>
      </x:c>
    </x:row>
    <x:row r="101" ht="56" customHeight="1">
      <x:c r="A101" s="40" t="str">
        <x:v>XK-014</x:v>
      </x:c>
      <x:c r="B101" s="41" t="str">
        <x:v>启用</x:v>
      </x:c>
      <x:c r="C101" s="35" t="str">
        <x:v>悬空作业</x:v>
      </x:c>
      <x:c r="D101" s="35" t="str">
        <x:v>吊装、模板、钢筋、混凝土、屋面或外墙作业</x:v>
      </x:c>
      <x:c r="E101" s="35" t="str">
        <x:v>人员无稳定立足面进行高处作业时</x:v>
      </x:c>
      <x:c r="F101" s="35" t="str">
        <x:v>在进行高处拆模作业时应配置登高用具或搭设支架</x:v>
      </x:c>
      <x:c r="G101" s="35" t="str">
        <x:v>无明确数值；按文本要求判断</x:v>
      </x:c>
      <x:c r="H101" s="41" t="str">
        <x:v>应执行</x:v>
      </x:c>
      <x:c r="I101" s="35" t="str">
        <x:v>高处坠落；物体打击</x:v>
      </x:c>
      <x:c r="J101" s="41" t="str">
        <x:v>较大</x:v>
      </x:c>
      <x:c r="K101" s="35" t="str">
        <x:v>高处作业人员；安全员；施工员；班组长</x:v>
      </x:c>
      <x:c r="L101" s="35" t="str">
        <x:v>现场检查+人工确认</x:v>
      </x:c>
      <x:c r="M101" s="35" t="str">
        <x:v>建筑施工高处作业安全技术规范</x:v>
      </x:c>
      <x:c r="N101" s="35" t="str">
        <x:v>JGJ 80-2016</x:v>
      </x:c>
      <x:c r="O101" s="35" t="str">
        <x:v>行业标准</x:v>
      </x:c>
      <x:c r="P101" s="35" t="str">
        <x:v>现行版本（提交前建议再核验官方状态）</x:v>
      </x:c>
      <x:c r="Q101" s="35" t="str">
        <x:v>5.2.5</x:v>
      </x:c>
      <x:c r="R101" s="35" t="str">
        <x:v>5.2.5模板支撑体系搭设和拆卸的悬空作业，应符合下列规定：1模板支撑的搭设和拆卸应按规定程序进行，不得在上下同一垂直面上同时装拆模板；112在坠落基准面2m及以上高处搭设与拆除柱模板及悬挑结构的模板时，应设置操作平台；3在进行高处拆模作业时应配置登高用具或搭设支架</x:v>
      </x:c>
      <x:c r="S101" s="41" t="n">
        <x:v>17</x:v>
      </x:c>
      <x:c r="T101" s="44" t="n">
        <x:v>11</x:v>
      </x:c>
    </x:row>
    <x:row r="102" ht="56" customHeight="1">
      <x:c r="A102" s="40" t="str">
        <x:v>XK-015</x:v>
      </x:c>
      <x:c r="B102" s="41" t="str">
        <x:v>启用</x:v>
      </x:c>
      <x:c r="C102" s="35" t="str">
        <x:v>悬空作业</x:v>
      </x:c>
      <x:c r="D102" s="35" t="str">
        <x:v>吊装、模板、钢筋、混凝土、屋面或外墙作业</x:v>
      </x:c>
      <x:c r="E102" s="35" t="str">
        <x:v>人员无稳定立足面进行高处作业时</x:v>
      </x:c>
      <x:c r="F102" s="35" t="str">
        <x:v>绑扎立柱和墙体钢筋，不得沿钢筋骨架攀登或站在骨架上作业</x:v>
      </x:c>
      <x:c r="G102" s="35" t="str">
        <x:v>无明确数值；按文本要求判断</x:v>
      </x:c>
      <x:c r="H102" s="41" t="str">
        <x:v>禁止/不得</x:v>
      </x:c>
      <x:c r="I102" s="35" t="str">
        <x:v>高处坠落；物体打击</x:v>
      </x:c>
      <x:c r="J102" s="41" t="str">
        <x:v>重大</x:v>
      </x:c>
      <x:c r="K102" s="35" t="str">
        <x:v>高处作业人员；安全员；施工员；班组长</x:v>
      </x:c>
      <x:c r="L102" s="35" t="str">
        <x:v>现场检查+人工确认</x:v>
      </x:c>
      <x:c r="M102" s="35" t="str">
        <x:v>建筑施工高处作业安全技术规范</x:v>
      </x:c>
      <x:c r="N102" s="35" t="str">
        <x:v>JGJ 80-2016</x:v>
      </x:c>
      <x:c r="O102" s="35" t="str">
        <x:v>行业标准</x:v>
      </x:c>
      <x:c r="P102" s="35" t="str">
        <x:v>现行版本（提交前建议再核验官方状态）</x:v>
      </x:c>
      <x:c r="Q102" s="35" t="str">
        <x:v>5.2.6</x:v>
      </x:c>
      <x:c r="R102" s="35" t="str">
        <x:v>5.2.6绑扎钢筋和预应力张拉的悬空作业应符合下列规定：1绑扎立柱和墙体钢筋，不得沿钢筋骨架攀登或站在骨架上作业；2在坠落基准面2m及以上高处绑扎柱钢筋和进行预应力张拉时，应搭设操作平台</x:v>
      </x:c>
      <x:c r="S102" s="41" t="n">
        <x:v>18</x:v>
      </x:c>
      <x:c r="T102" s="44" t="n">
        <x:v>12</x:v>
      </x:c>
    </x:row>
    <x:row r="103" ht="56" customHeight="1">
      <x:c r="A103" s="40" t="str">
        <x:v>XK-016</x:v>
      </x:c>
      <x:c r="B103" s="41" t="str">
        <x:v>启用</x:v>
      </x:c>
      <x:c r="C103" s="35" t="str">
        <x:v>悬空作业</x:v>
      </x:c>
      <x:c r="D103" s="35" t="str">
        <x:v>吊装、模板、钢筋、混凝土、屋面或外墙作业</x:v>
      </x:c>
      <x:c r="E103" s="35" t="str">
        <x:v>在坠落基准面2m及以上高处绑扎柱钢筋和进行预应力张拉时</x:v>
      </x:c>
      <x:c r="F103" s="35" t="str">
        <x:v>在坠落基准面2m及以上高处绑扎柱钢筋和进行预应力张拉时，应搭设操作平台</x:v>
      </x:c>
      <x:c r="G103" s="35" t="str">
        <x:v>2m</x:v>
      </x:c>
      <x:c r="H103" s="41" t="str">
        <x:v>应执行</x:v>
      </x:c>
      <x:c r="I103" s="35" t="str">
        <x:v>高处坠落；物体打击</x:v>
      </x:c>
      <x:c r="J103" s="41" t="str">
        <x:v>较大</x:v>
      </x:c>
      <x:c r="K103" s="35" t="str">
        <x:v>高处作业人员；安全员；施工员；班组长</x:v>
      </x:c>
      <x:c r="L103" s="35" t="str">
        <x:v>现场目视+尺寸/仪器测量</x:v>
      </x:c>
      <x:c r="M103" s="35" t="str">
        <x:v>建筑施工高处作业安全技术规范</x:v>
      </x:c>
      <x:c r="N103" s="35" t="str">
        <x:v>JGJ 80-2016</x:v>
      </x:c>
      <x:c r="O103" s="35" t="str">
        <x:v>行业标准</x:v>
      </x:c>
      <x:c r="P103" s="35" t="str">
        <x:v>现行版本（提交前建议再核验官方状态）</x:v>
      </x:c>
      <x:c r="Q103" s="35" t="str">
        <x:v>5.2.6</x:v>
      </x:c>
      <x:c r="R103" s="35" t="str">
        <x:v>5.2.6绑扎钢筋和预应力张拉的悬空作业应符合下列规定：1绑扎立柱和墙体钢筋，不得沿钢筋骨架攀登或站在骨架上作业；2在坠落基准面2m及以上高处绑扎柱钢筋和进行预应力张拉时，应搭设操作平台</x:v>
      </x:c>
      <x:c r="S103" s="41" t="n">
        <x:v>18</x:v>
      </x:c>
      <x:c r="T103" s="44" t="n">
        <x:v>12</x:v>
      </x:c>
    </x:row>
    <x:row r="104" ht="56" customHeight="1">
      <x:c r="A104" s="40" t="str">
        <x:v>XK-017</x:v>
      </x:c>
      <x:c r="B104" s="41" t="str">
        <x:v>启用</x:v>
      </x:c>
      <x:c r="C104" s="35" t="str">
        <x:v>悬空作业</x:v>
      </x:c>
      <x:c r="D104" s="35" t="str">
        <x:v>吊装、模板、钢筋、混凝土、屋面或外墙作业</x:v>
      </x:c>
      <x:c r="E104" s="35" t="str">
        <x:v>人员无稳定立足面进行高处作业时</x:v>
      </x:c>
      <x:c r="F104" s="35" t="str">
        <x:v>浇筑高度2m及以上的混凝土结构构件时，应设置脚手架或操作平台</x:v>
      </x:c>
      <x:c r="G104" s="35" t="str">
        <x:v>2m</x:v>
      </x:c>
      <x:c r="H104" s="41" t="str">
        <x:v>应执行</x:v>
      </x:c>
      <x:c r="I104" s="35" t="str">
        <x:v>高处坠落；物体打击</x:v>
      </x:c>
      <x:c r="J104" s="41" t="str">
        <x:v>较大</x:v>
      </x:c>
      <x:c r="K104" s="35" t="str">
        <x:v>高处作业人员；安全员；施工员；班组长</x:v>
      </x:c>
      <x:c r="L104" s="35" t="str">
        <x:v>现场目视+尺寸/仪器测量</x:v>
      </x:c>
      <x:c r="M104" s="35" t="str">
        <x:v>建筑施工高处作业安全技术规范</x:v>
      </x:c>
      <x:c r="N104" s="35" t="str">
        <x:v>JGJ 80-2016</x:v>
      </x:c>
      <x:c r="O104" s="35" t="str">
        <x:v>行业标准</x:v>
      </x:c>
      <x:c r="P104" s="35" t="str">
        <x:v>现行版本（提交前建议再核验官方状态）</x:v>
      </x:c>
      <x:c r="Q104" s="35" t="str">
        <x:v>5.2.7</x:v>
      </x:c>
      <x:c r="R104" s="35" t="str">
        <x:v>5.2.7混凝土浇筑与结构施工的悬空作业应符合下列规定：1浇筑高度2m及以上的混凝土结构构件时，应设置脚手架或操作平台；2悬挑的混凝土梁和檐、外墙和边柱等结构施工时，应搭设脚手架或操作平台</x:v>
      </x:c>
      <x:c r="S104" s="41" t="n">
        <x:v>18</x:v>
      </x:c>
      <x:c r="T104" s="44" t="n">
        <x:v>12</x:v>
      </x:c>
    </x:row>
    <x:row r="105" ht="56" customHeight="1">
      <x:c r="A105" s="40" t="str">
        <x:v>XK-018</x:v>
      </x:c>
      <x:c r="B105" s="41" t="str">
        <x:v>启用</x:v>
      </x:c>
      <x:c r="C105" s="35" t="str">
        <x:v>悬空作业</x:v>
      </x:c>
      <x:c r="D105" s="35" t="str">
        <x:v>吊装、模板、钢筋、混凝土、屋面或外墙作业</x:v>
      </x:c>
      <x:c r="E105" s="35" t="str">
        <x:v>人员无稳定立足面进行高处作业时</x:v>
      </x:c>
      <x:c r="F105" s="35" t="str">
        <x:v>悬挑的混凝土梁和檐、外墙和边柱等结构施工时，应搭设脚手架或操作平台</x:v>
      </x:c>
      <x:c r="G105" s="35" t="str">
        <x:v>无明确数值；按文本要求判断</x:v>
      </x:c>
      <x:c r="H105" s="41" t="str">
        <x:v>应执行</x:v>
      </x:c>
      <x:c r="I105" s="35" t="str">
        <x:v>高处坠落；物体打击</x:v>
      </x:c>
      <x:c r="J105" s="41" t="str">
        <x:v>较大</x:v>
      </x:c>
      <x:c r="K105" s="35" t="str">
        <x:v>高处作业人员；安全员；施工员；班组长</x:v>
      </x:c>
      <x:c r="L105" s="35" t="str">
        <x:v>现场检查+人工确认</x:v>
      </x:c>
      <x:c r="M105" s="35" t="str">
        <x:v>建筑施工高处作业安全技术规范</x:v>
      </x:c>
      <x:c r="N105" s="35" t="str">
        <x:v>JGJ 80-2016</x:v>
      </x:c>
      <x:c r="O105" s="35" t="str">
        <x:v>行业标准</x:v>
      </x:c>
      <x:c r="P105" s="35" t="str">
        <x:v>现行版本（提交前建议再核验官方状态）</x:v>
      </x:c>
      <x:c r="Q105" s="35" t="str">
        <x:v>5.2.7</x:v>
      </x:c>
      <x:c r="R105" s="35" t="str">
        <x:v>5.2.7混凝土浇筑与结构施工的悬空作业应符合下列规定：1浇筑高度2m及以上的混凝土结构构件时，应设置脚手架或操作平台；2悬挑的混凝土梁和檐、外墙和边柱等结构施工时，应搭设脚手架或操作平台</x:v>
      </x:c>
      <x:c r="S105" s="41" t="n">
        <x:v>18</x:v>
      </x:c>
      <x:c r="T105" s="44" t="n">
        <x:v>12</x:v>
      </x:c>
    </x:row>
    <x:row r="106" ht="56" customHeight="1">
      <x:c r="A106" s="40" t="str">
        <x:v>XK-019</x:v>
      </x:c>
      <x:c r="B106" s="41" t="str">
        <x:v>启用</x:v>
      </x:c>
      <x:c r="C106" s="35" t="str">
        <x:v>悬空作业</x:v>
      </x:c>
      <x:c r="D106" s="35" t="str">
        <x:v>吊装、模板、钢筋、混凝土、屋面或外墙作业</x:v>
      </x:c>
      <x:c r="E106" s="35" t="str">
        <x:v>在坡度大于25°的屋面上作业</x:v>
      </x:c>
      <x:c r="F106" s="35" t="str">
        <x:v>在坡度大于25°的屋面上作业，当无外脚手架时，应在屋檐边设置不低于1.5m高的防护栏杆，并应采用密目式安全立网全封闭</x:v>
      </x:c>
      <x:c r="G106" s="35" t="str">
        <x:v>25°；1.5m</x:v>
      </x:c>
      <x:c r="H106" s="41" t="str">
        <x:v>应执行</x:v>
      </x:c>
      <x:c r="I106" s="35" t="str">
        <x:v>高处坠落；物体打击</x:v>
      </x:c>
      <x:c r="J106" s="41" t="str">
        <x:v>较大</x:v>
      </x:c>
      <x:c r="K106" s="35" t="str">
        <x:v>高处作业人员；安全员；施工员；班组长</x:v>
      </x:c>
      <x:c r="L106" s="35" t="str">
        <x:v>现场目视+尺寸/仪器测量</x:v>
      </x:c>
      <x:c r="M106" s="35" t="str">
        <x:v>建筑施工高处作业安全技术规范</x:v>
      </x:c>
      <x:c r="N106" s="35" t="str">
        <x:v>JGJ 80-2016</x:v>
      </x:c>
      <x:c r="O106" s="35" t="str">
        <x:v>行业标准</x:v>
      </x:c>
      <x:c r="P106" s="35" t="str">
        <x:v>现行版本（提交前建议再核验官方状态）</x:v>
      </x:c>
      <x:c r="Q106" s="35" t="str">
        <x:v>5.2.8</x:v>
      </x:c>
      <x:c r="R106" s="35" t="str">
        <x:v>5.2.8屋面作业时应符合下列规定：1在坡度大于25°的屋面上作业，当无外脚手架时，应在屋檐边设置不低于1.5m高的防护栏杆，并应采用密目式安全立网全封闭；在轻质型材等屋面上作业：应搭设临时走道板，不得在轻质型材上行走；安装轻质型材板前，应采取在梁下支设安全平网或搭设脚手架等安全防护措施</x:v>
      </x:c>
      <x:c r="S106" s="41" t="n">
        <x:v>18</x:v>
      </x:c>
      <x:c r="T106" s="44" t="n">
        <x:v>12</x:v>
      </x:c>
    </x:row>
    <x:row r="107" ht="56" customHeight="1">
      <x:c r="A107" s="40" t="str">
        <x:v>XK-020</x:v>
      </x:c>
      <x:c r="B107" s="41" t="str">
        <x:v>启用</x:v>
      </x:c>
      <x:c r="C107" s="35" t="str">
        <x:v>悬空作业</x:v>
      </x:c>
      <x:c r="D107" s="35" t="str">
        <x:v>吊装、模板、钢筋、混凝土、屋面或外墙作业</x:v>
      </x:c>
      <x:c r="E107" s="35" t="str">
        <x:v>在轻质型材等屋面上作业：应搭设临时走道板</x:v>
      </x:c>
      <x:c r="F107" s="35" t="str">
        <x:v>在轻质型材等屋面上作业：应搭设临时走道板，不得在轻质型材上行走</x:v>
      </x:c>
      <x:c r="G107" s="35" t="str">
        <x:v>无明确数值；按文本要求判断</x:v>
      </x:c>
      <x:c r="H107" s="41" t="str">
        <x:v>禁止/不得</x:v>
      </x:c>
      <x:c r="I107" s="35" t="str">
        <x:v>高处坠落；物体打击</x:v>
      </x:c>
      <x:c r="J107" s="41" t="str">
        <x:v>重大</x:v>
      </x:c>
      <x:c r="K107" s="35" t="str">
        <x:v>高处作业人员；安全员；施工员；班组长</x:v>
      </x:c>
      <x:c r="L107" s="35" t="str">
        <x:v>现场检查+人工确认</x:v>
      </x:c>
      <x:c r="M107" s="35" t="str">
        <x:v>建筑施工高处作业安全技术规范</x:v>
      </x:c>
      <x:c r="N107" s="35" t="str">
        <x:v>JGJ 80-2016</x:v>
      </x:c>
      <x:c r="O107" s="35" t="str">
        <x:v>行业标准</x:v>
      </x:c>
      <x:c r="P107" s="35" t="str">
        <x:v>现行版本（提交前建议再核验官方状态）</x:v>
      </x:c>
      <x:c r="Q107" s="35" t="str">
        <x:v>5.2.8</x:v>
      </x:c>
      <x:c r="R107" s="35" t="str">
        <x:v>5.2.8屋面作业时应符合下列规定：1在坡度大于25°的屋面上作业，当无外脚手架时，应在屋檐边设置不低于1.5m高的防护栏杆，并应采用密目式安全立网全封闭；在轻质型材等屋面上作业：应搭设临时走道板，不得在轻质型材上行走；安装轻质型材板前，应采取在梁下支设安全平网或搭设脚手架等安全防护措施</x:v>
      </x:c>
      <x:c r="S107" s="41" t="n">
        <x:v>18</x:v>
      </x:c>
      <x:c r="T107" s="44" t="n">
        <x:v>12</x:v>
      </x:c>
    </x:row>
    <x:row r="108" ht="56" customHeight="1">
      <x:c r="A108" s="40" t="str">
        <x:v>XK-021</x:v>
      </x:c>
      <x:c r="B108" s="41" t="str">
        <x:v>启用</x:v>
      </x:c>
      <x:c r="C108" s="35" t="str">
        <x:v>悬空作业</x:v>
      </x:c>
      <x:c r="D108" s="35" t="str">
        <x:v>吊装、模板、钢筋、混凝土、屋面或外墙作业</x:v>
      </x:c>
      <x:c r="E108" s="35" t="str">
        <x:v>人员无稳定立足面进行高处作业时</x:v>
      </x:c>
      <x:c r="F108" s="35" t="str">
        <x:v>安装轻质型材板前，应采取在梁下支设安全平网或搭设脚手架等安全防护措施</x:v>
      </x:c>
      <x:c r="G108" s="35" t="str">
        <x:v>无明确数值；按文本要求判断</x:v>
      </x:c>
      <x:c r="H108" s="41" t="str">
        <x:v>应执行</x:v>
      </x:c>
      <x:c r="I108" s="35" t="str">
        <x:v>高处坠落；物体打击</x:v>
      </x:c>
      <x:c r="J108" s="41" t="str">
        <x:v>较大</x:v>
      </x:c>
      <x:c r="K108" s="35" t="str">
        <x:v>高处作业人员；安全员；施工员；班组长</x:v>
      </x:c>
      <x:c r="L108" s="35" t="str">
        <x:v>现场检查+人工确认</x:v>
      </x:c>
      <x:c r="M108" s="35" t="str">
        <x:v>建筑施工高处作业安全技术规范</x:v>
      </x:c>
      <x:c r="N108" s="35" t="str">
        <x:v>JGJ 80-2016</x:v>
      </x:c>
      <x:c r="O108" s="35" t="str">
        <x:v>行业标准</x:v>
      </x:c>
      <x:c r="P108" s="35" t="str">
        <x:v>现行版本（提交前建议再核验官方状态）</x:v>
      </x:c>
      <x:c r="Q108" s="35" t="str">
        <x:v>5.2.8</x:v>
      </x:c>
      <x:c r="R108" s="35" t="str">
        <x:v>5.2.8屋面作业时应符合下列规定：1在坡度大于25°的屋面上作业，当无外脚手架时，应在屋檐边设置不低于1.5m高的防护栏杆，并应采用密目式安全立网全封闭；在轻质型材等屋面上作业：应搭设临时走道板，不得在轻质型材上行走；安装轻质型材板前，应采取在梁下支设安全平网或搭设脚手架等安全防护措施</x:v>
      </x:c>
      <x:c r="S108" s="41" t="n">
        <x:v>18</x:v>
      </x:c>
      <x:c r="T108" s="44" t="n">
        <x:v>12</x:v>
      </x:c>
    </x:row>
    <x:row r="109" ht="56" customHeight="1">
      <x:c r="A109" s="40" t="str">
        <x:v>XK-022</x:v>
      </x:c>
      <x:c r="B109" s="41" t="str">
        <x:v>启用</x:v>
      </x:c>
      <x:c r="C109" s="35" t="str">
        <x:v>悬空作业</x:v>
      </x:c>
      <x:c r="D109" s="35" t="str">
        <x:v>吊装、模板、钢筋、混凝土、屋面或外墙作业</x:v>
      </x:c>
      <x:c r="E109" s="35" t="str">
        <x:v>人员无稳定立足面进行高处作业时</x:v>
      </x:c>
      <x:c r="F109" s="35" t="str">
        <x:v>门窗作业时，应有防坠落措施，操作人员在无安全防护措施时，不得站立在樘子、阳台栏板上作业</x:v>
      </x:c>
      <x:c r="G109" s="35" t="str">
        <x:v>无明确数值；按文本要求判断</x:v>
      </x:c>
      <x:c r="H109" s="41" t="str">
        <x:v>禁止/不得</x:v>
      </x:c>
      <x:c r="I109" s="35" t="str">
        <x:v>高处坠落；物体打击</x:v>
      </x:c>
      <x:c r="J109" s="41" t="str">
        <x:v>重大</x:v>
      </x:c>
      <x:c r="K109" s="35" t="str">
        <x:v>高处作业人员；安全员；施工员；班组长</x:v>
      </x:c>
      <x:c r="L109" s="35" t="str">
        <x:v>现场检查+人工确认</x:v>
      </x:c>
      <x:c r="M109" s="35" t="str">
        <x:v>建筑施工高处作业安全技术规范</x:v>
      </x:c>
      <x:c r="N109" s="35" t="str">
        <x:v>JGJ 80-2016</x:v>
      </x:c>
      <x:c r="O109" s="35" t="str">
        <x:v>行业标准</x:v>
      </x:c>
      <x:c r="P109" s="35" t="str">
        <x:v>现行版本（提交前建议再核验官方状态）</x:v>
      </x:c>
      <x:c r="Q109" s="35" t="str">
        <x:v>5.2.9</x:v>
      </x:c>
      <x:c r="R109" s="35" t="str">
        <x:v>5.2.9外墙作业时应符合下列规定：1门窗作业时，应有防坠落措施，操作人员在无安全防护措施时，不得站立在樘子、阳台栏板上作业；2高处作业不得使用座板式单人吊具，不得使用自制吊篮。126操作平台</x:v>
      </x:c>
      <x:c r="S109" s="41" t="n">
        <x:v>18</x:v>
      </x:c>
      <x:c r="T109" s="44" t="n">
        <x:v>12</x:v>
      </x:c>
    </x:row>
    <x:row r="110" ht="56" customHeight="1">
      <x:c r="A110" s="40" t="str">
        <x:v>XK-023</x:v>
      </x:c>
      <x:c r="B110" s="41" t="str">
        <x:v>启用</x:v>
      </x:c>
      <x:c r="C110" s="35" t="str">
        <x:v>悬空作业</x:v>
      </x:c>
      <x:c r="D110" s="35" t="str">
        <x:v>吊装、模板、钢筋、混凝土、屋面或外墙作业</x:v>
      </x:c>
      <x:c r="E110" s="35" t="str">
        <x:v>人员无稳定立足面进行高处作业时</x:v>
      </x:c>
      <x:c r="F110" s="35" t="str">
        <x:v>高处作业不得使用座板式单人吊具，不得使用自制吊篮</x:v>
      </x:c>
      <x:c r="G110" s="35" t="str">
        <x:v>无明确数值；按文本要求判断</x:v>
      </x:c>
      <x:c r="H110" s="41" t="str">
        <x:v>禁止/不得</x:v>
      </x:c>
      <x:c r="I110" s="35" t="str">
        <x:v>高处坠落；物体打击</x:v>
      </x:c>
      <x:c r="J110" s="41" t="str">
        <x:v>重大</x:v>
      </x:c>
      <x:c r="K110" s="35" t="str">
        <x:v>高处作业人员；安全员；施工员；班组长</x:v>
      </x:c>
      <x:c r="L110" s="35" t="str">
        <x:v>现场检查+人工确认</x:v>
      </x:c>
      <x:c r="M110" s="35" t="str">
        <x:v>建筑施工高处作业安全技术规范</x:v>
      </x:c>
      <x:c r="N110" s="35" t="str">
        <x:v>JGJ 80-2016</x:v>
      </x:c>
      <x:c r="O110" s="35" t="str">
        <x:v>行业标准</x:v>
      </x:c>
      <x:c r="P110" s="35" t="str">
        <x:v>现行版本（提交前建议再核验官方状态）</x:v>
      </x:c>
      <x:c r="Q110" s="35" t="str">
        <x:v>5.2.9</x:v>
      </x:c>
      <x:c r="R110" s="35" t="str">
        <x:v>5.2.9外墙作业时应符合下列规定：1门窗作业时，应有防坠落措施，操作人员在无安全防护措施时，不得站立在樘子、阳台栏板上作业；2高处作业不得使用座板式单人吊具，不得使用自制吊篮。126操作平台</x:v>
      </x:c>
      <x:c r="S110" s="41" t="n">
        <x:v>18</x:v>
      </x:c>
      <x:c r="T110" s="44" t="n">
        <x:v>12</x:v>
      </x:c>
    </x:row>
    <x:row r="111" ht="56" customHeight="1">
      <x:c r="A111" s="40" t="str">
        <x:v>PT-001</x:v>
      </x:c>
      <x:c r="B111" s="41" t="str">
        <x:v>启用</x:v>
      </x:c>
      <x:c r="C111" s="35" t="str">
        <x:v>操作平台通用</x:v>
      </x:c>
      <x:c r="D111" s="35" t="str">
        <x:v>操作平台设计、使用与检查</x:v>
      </x:c>
      <x:c r="E111" s="35" t="str">
        <x:v>设计、搭设或使用操作平台时</x:v>
      </x:c>
      <x:c r="F111" s="35" t="str">
        <x:v>操作平台应通过设计计算，并应编制专项方案，架体构造与材质应满足国家现行相关标准的规定</x:v>
      </x:c>
      <x:c r="G111" s="35" t="str">
        <x:v>无明确数值；按文本要求判断</x:v>
      </x:c>
      <x:c r="H111" s="41" t="str">
        <x:v>应执行</x:v>
      </x:c>
      <x:c r="I111" s="35" t="str">
        <x:v>高处坠落；物体打击</x:v>
      </x:c>
      <x:c r="J111" s="41" t="str">
        <x:v>较大</x:v>
      </x:c>
      <x:c r="K111" s="35" t="str">
        <x:v>技术负责人；方案编制人员；项目负责人；安全员</x:v>
      </x:c>
      <x:c r="L111" s="35" t="str">
        <x:v>文件核验</x:v>
      </x:c>
      <x:c r="M111" s="35" t="str">
        <x:v>建筑施工高处作业安全技术规范</x:v>
      </x:c>
      <x:c r="N111" s="35" t="str">
        <x:v>JGJ 80-2016</x:v>
      </x:c>
      <x:c r="O111" s="35" t="str">
        <x:v>行业标准</x:v>
      </x:c>
      <x:c r="P111" s="35" t="str">
        <x:v>现行版本（提交前建议再核验官方状态）</x:v>
      </x:c>
      <x:c r="Q111" s="35" t="str">
        <x:v>6.1.1</x:v>
      </x:c>
      <x:c r="R111" s="35" t="str">
        <x:v>6.1.1操作平台应通过设计计算，并应编制专项方案，架体构造与材质应满足国家现行相关标准的规定</x:v>
      </x:c>
      <x:c r="S111" s="41" t="n">
        <x:v>19</x:v>
      </x:c>
      <x:c r="T111" s="44" t="n">
        <x:v>13</x:v>
      </x:c>
    </x:row>
    <x:row r="112" ht="56" customHeight="1">
      <x:c r="A112" s="40" t="str">
        <x:v>PT-002</x:v>
      </x:c>
      <x:c r="B112" s="41" t="str">
        <x:v>启用</x:v>
      </x:c>
      <x:c r="C112" s="35" t="str">
        <x:v>操作平台通用</x:v>
      </x:c>
      <x:c r="D112" s="35" t="str">
        <x:v>操作平台设计、使用与检查</x:v>
      </x:c>
      <x:c r="E112" s="35" t="str">
        <x:v>设计、搭设或使用操作平台时</x:v>
      </x:c>
      <x:c r="F112" s="35" t="str">
        <x:v>平台面铺设的钢、木或竹胶合板等材质的脚手板：应符合材质和承载力要求，并应平整满铺及可靠固定</x:v>
      </x:c>
      <x:c r="G112" s="35" t="str">
        <x:v>无明确数值；按文本要求判断</x:v>
      </x:c>
      <x:c r="H112" s="41" t="str">
        <x:v>应执行</x:v>
      </x:c>
      <x:c r="I112" s="35" t="str">
        <x:v>高处坠落；物体打击</x:v>
      </x:c>
      <x:c r="J112" s="41" t="str">
        <x:v>较大</x:v>
      </x:c>
      <x:c r="K112" s="35" t="str">
        <x:v>高处作业人员；安全员；施工员；班组长</x:v>
      </x:c>
      <x:c r="L112" s="35" t="str">
        <x:v>现场检查+人工确认</x:v>
      </x:c>
      <x:c r="M112" s="35" t="str">
        <x:v>建筑施工高处作业安全技术规范</x:v>
      </x:c>
      <x:c r="N112" s="35" t="str">
        <x:v>JGJ 80-2016</x:v>
      </x:c>
      <x:c r="O112" s="35" t="str">
        <x:v>行业标准</x:v>
      </x:c>
      <x:c r="P112" s="35" t="str">
        <x:v>现行版本（提交前建议再核验官方状态）</x:v>
      </x:c>
      <x:c r="Q112" s="35" t="str">
        <x:v>6.1.2</x:v>
      </x:c>
      <x:c r="R112" s="35" t="str">
        <x:v>6.1.2操作平台的架体结构应采用钢管、型钢及其他等效性能材料组装，并应符合现行国家标准《钢结构设计规范》GB50017及国家现行有关脚手架标准的规定。平台面铺设的钢、木或竹胶合板等材质的脚手板：应符合材质和承载力要求，并应平整满铺及可靠固定</x:v>
      </x:c>
      <x:c r="S112" s="41" t="n">
        <x:v>19</x:v>
      </x:c>
      <x:c r="T112" s="44" t="n">
        <x:v>13</x:v>
      </x:c>
    </x:row>
    <x:row r="113" ht="56" customHeight="1">
      <x:c r="A113" s="40" t="str">
        <x:v>PT-003</x:v>
      </x:c>
      <x:c r="B113" s="41" t="str">
        <x:v>启用</x:v>
      </x:c>
      <x:c r="C113" s="35" t="str">
        <x:v>操作平台通用</x:v>
      </x:c>
      <x:c r="D113" s="35" t="str">
        <x:v>操作平台设计、使用与检查</x:v>
      </x:c>
      <x:c r="E113" s="35" t="str">
        <x:v>设计、搭设或使用操作平台时</x:v>
      </x:c>
      <x:c r="F113" s="35" t="str">
        <x:v>操作平台的临边应设置防护栏杆，单独设置的操作平台应设置供人上下踏步间距不大于400mm的扶梯</x:v>
      </x:c>
      <x:c r="G113" s="35" t="str">
        <x:v>400mm</x:v>
      </x:c>
      <x:c r="H113" s="41" t="str">
        <x:v>应执行</x:v>
      </x:c>
      <x:c r="I113" s="35" t="str">
        <x:v>高处坠落；物体打击</x:v>
      </x:c>
      <x:c r="J113" s="41" t="str">
        <x:v>较大</x:v>
      </x:c>
      <x:c r="K113" s="35" t="str">
        <x:v>高处作业人员；安全员；施工员；班组长</x:v>
      </x:c>
      <x:c r="L113" s="35" t="str">
        <x:v>现场目视+尺寸/仪器测量</x:v>
      </x:c>
      <x:c r="M113" s="35" t="str">
        <x:v>建筑施工高处作业安全技术规范</x:v>
      </x:c>
      <x:c r="N113" s="35" t="str">
        <x:v>JGJ 80-2016</x:v>
      </x:c>
      <x:c r="O113" s="35" t="str">
        <x:v>行业标准</x:v>
      </x:c>
      <x:c r="P113" s="35" t="str">
        <x:v>现行版本（提交前建议再核验官方状态）</x:v>
      </x:c>
      <x:c r="Q113" s="35" t="str">
        <x:v>6.1.3</x:v>
      </x:c>
      <x:c r="R113" s="35" t="str">
        <x:v>6.1.3操作平台的临边应设置防护栏杆，单独设置的操作平台应设置供人上下踏步间距不大于400mm的扶梯</x:v>
      </x:c>
      <x:c r="S113" s="41" t="n">
        <x:v>19</x:v>
      </x:c>
      <x:c r="T113" s="44" t="n">
        <x:v>13</x:v>
      </x:c>
    </x:row>
    <x:row r="114" ht="56" customHeight="1">
      <x:c r="A114" s="40" t="str">
        <x:v>PT-004</x:v>
      </x:c>
      <x:c r="B114" s="41" t="str">
        <x:v>启用</x:v>
      </x:c>
      <x:c r="C114" s="35" t="str">
        <x:v>操作平台通用</x:v>
      </x:c>
      <x:c r="D114" s="35" t="str">
        <x:v>操作平台设计、使用与检查</x:v>
      </x:c>
      <x:c r="E114" s="35" t="str">
        <x:v>设计、搭设或使用操作平台时</x:v>
      </x:c>
      <x:c r="F114" s="35" t="str">
        <x:v>应在操作平台明显位置设置标明允许负载值的限载牌及限定允许的作业人数，物料应及时转运，不得超重、超高堆放</x:v>
      </x:c>
      <x:c r="G114" s="35" t="str">
        <x:v>无明确数值；按文本要求判断</x:v>
      </x:c>
      <x:c r="H114" s="41" t="str">
        <x:v>禁止/不得</x:v>
      </x:c>
      <x:c r="I114" s="35" t="str">
        <x:v>高处坠落；物体打击</x:v>
      </x:c>
      <x:c r="J114" s="41" t="str">
        <x:v>重大</x:v>
      </x:c>
      <x:c r="K114" s="35" t="str">
        <x:v>高处作业人员；安全员；施工员；班组长</x:v>
      </x:c>
      <x:c r="L114" s="35" t="str">
        <x:v>现场目视或影像检查</x:v>
      </x:c>
      <x:c r="M114" s="35" t="str">
        <x:v>建筑施工高处作业安全技术规范</x:v>
      </x:c>
      <x:c r="N114" s="35" t="str">
        <x:v>JGJ 80-2016</x:v>
      </x:c>
      <x:c r="O114" s="35" t="str">
        <x:v>行业标准</x:v>
      </x:c>
      <x:c r="P114" s="35" t="str">
        <x:v>现行版本（提交前建议再核验官方状态）</x:v>
      </x:c>
      <x:c r="Q114" s="35" t="str">
        <x:v>6.1.4</x:v>
      </x:c>
      <x:c r="R114" s="35" t="str">
        <x:v>6.1.4应在操作平台明显位置设置标明允许负载值的限载牌及限定允许的作业人数，物料应及时转运，不得超重、超高堆放</x:v>
      </x:c>
      <x:c r="S114" s="41" t="n">
        <x:v>19</x:v>
      </x:c>
      <x:c r="T114" s="44" t="n">
        <x:v>13</x:v>
      </x:c>
    </x:row>
    <x:row r="115" ht="56" customHeight="1">
      <x:c r="A115" s="40" t="str">
        <x:v>PT-005</x:v>
      </x:c>
      <x:c r="B115" s="41" t="str">
        <x:v>启用</x:v>
      </x:c>
      <x:c r="C115" s="35" t="str">
        <x:v>操作平台通用</x:v>
      </x:c>
      <x:c r="D115" s="35" t="str">
        <x:v>操作平台设计、使用与检查</x:v>
      </x:c>
      <x:c r="E115" s="35" t="str">
        <x:v>设计、搭设或使用操作平台时</x:v>
      </x:c>
      <x:c r="F115" s="35" t="str">
        <x:v>操作平台使用中应每月不少于1次定期检查，应由专人进行日常维护工作，及时消除安全隐患</x:v>
      </x:c>
      <x:c r="G115" s="35" t="str">
        <x:v>1次</x:v>
      </x:c>
      <x:c r="H115" s="41" t="str">
        <x:v>应执行</x:v>
      </x:c>
      <x:c r="I115" s="35" t="str">
        <x:v>高处坠落；物体打击</x:v>
      </x:c>
      <x:c r="J115" s="41" t="str">
        <x:v>较大</x:v>
      </x:c>
      <x:c r="K115" s="35" t="str">
        <x:v>安全员；施工员；监理人员；班组长</x:v>
      </x:c>
      <x:c r="L115" s="35" t="str">
        <x:v>现场目视+尺寸/仪器测量</x:v>
      </x:c>
      <x:c r="M115" s="35" t="str">
        <x:v>建筑施工高处作业安全技术规范</x:v>
      </x:c>
      <x:c r="N115" s="35" t="str">
        <x:v>JGJ 80-2016</x:v>
      </x:c>
      <x:c r="O115" s="35" t="str">
        <x:v>行业标准</x:v>
      </x:c>
      <x:c r="P115" s="35" t="str">
        <x:v>现行版本（提交前建议再核验官方状态）</x:v>
      </x:c>
      <x:c r="Q115" s="35" t="str">
        <x:v>6.1.5</x:v>
      </x:c>
      <x:c r="R115" s="35" t="str">
        <x:v>6.1.5，操作平台使用中应每月不少于1次定期检查，应由专人进行日常维护工作，及时消除安全隐患</x:v>
      </x:c>
      <x:c r="S115" s="41" t="n">
        <x:v>19</x:v>
      </x:c>
      <x:c r="T115" s="44" t="n">
        <x:v>13</x:v>
      </x:c>
    </x:row>
    <x:row r="116" ht="56" customHeight="1">
      <x:c r="A116" s="40" t="str">
        <x:v>YD-001</x:v>
      </x:c>
      <x:c r="B116" s="41" t="str">
        <x:v>启用</x:v>
      </x:c>
      <x:c r="C116" s="35" t="str">
        <x:v>移动式操作平台</x:v>
      </x:c>
      <x:c r="D116" s="35" t="str">
        <x:v>移动平台搭设与使用</x:v>
      </x:c>
      <x:c r="E116" s="35" t="str">
        <x:v>搭设、移动或使用移动式操作平台时</x:v>
      </x:c>
      <x:c r="F116" s="35" t="str">
        <x:v>移动式操作平台面积不宜大于10m²，高度不宜大于5m，高宽比不应大于2：1，施工荷载不应大于1.5kN/m²</x:v>
      </x:c>
      <x:c r="G116" s="35" t="str">
        <x:v>10m²；5m；1.5kN/m²；2：1</x:v>
      </x:c>
      <x:c r="H116" s="41" t="str">
        <x:v>禁止/不得</x:v>
      </x:c>
      <x:c r="I116" s="35" t="str">
        <x:v>高处坠落；物体打击</x:v>
      </x:c>
      <x:c r="J116" s="41" t="str">
        <x:v>重大</x:v>
      </x:c>
      <x:c r="K116" s="35" t="str">
        <x:v>高处作业人员；安全员；施工员；班组长</x:v>
      </x:c>
      <x:c r="L116" s="35" t="str">
        <x:v>现场目视+尺寸/仪器测量</x:v>
      </x:c>
      <x:c r="M116" s="35" t="str">
        <x:v>建筑施工高处作业安全技术规范</x:v>
      </x:c>
      <x:c r="N116" s="35" t="str">
        <x:v>JGJ 80-2016</x:v>
      </x:c>
      <x:c r="O116" s="35" t="str">
        <x:v>行业标准</x:v>
      </x:c>
      <x:c r="P116" s="35" t="str">
        <x:v>现行版本（提交前建议再核验官方状态）</x:v>
      </x:c>
      <x:c r="Q116" s="35" t="str">
        <x:v>6.2.1</x:v>
      </x:c>
      <x:c r="R116" s="35" t="str">
        <x:v>6.2.1移动式操作平台面积不宜大于10m²，高度不宜大于5m，高宽比不应大于2：1，施工荷载不应大于1.5kN/m²</x:v>
      </x:c>
      <x:c r="S116" s="41" t="n">
        <x:v>19</x:v>
      </x:c>
      <x:c r="T116" s="44" t="n">
        <x:v>13</x:v>
      </x:c>
    </x:row>
    <x:row r="117" ht="56" customHeight="1">
      <x:c r="A117" s="40" t="str">
        <x:v>YD-002</x:v>
      </x:c>
      <x:c r="B117" s="41" t="str">
        <x:v>启用</x:v>
      </x:c>
      <x:c r="C117" s="35" t="str">
        <x:v>移动式操作平台</x:v>
      </x:c>
      <x:c r="D117" s="35" t="str">
        <x:v>移动平台搭设与使用</x:v>
      </x:c>
      <x:c r="E117" s="35" t="str">
        <x:v>搭设、移动或使用移动式操作平台时</x:v>
      </x:c>
      <x:c r="F117" s="35" t="str">
        <x:v>移动式操作平台的轮子与平台架体连接应牢固，立柱底端离地面不得大于80mm，行走轮和导向轮应配有制动器或刹车闸等制动措施</x:v>
      </x:c>
      <x:c r="G117" s="35" t="str">
        <x:v>80mm</x:v>
      </x:c>
      <x:c r="H117" s="41" t="str">
        <x:v>禁止/不得</x:v>
      </x:c>
      <x:c r="I117" s="35" t="str">
        <x:v>高处坠落；物体打击</x:v>
      </x:c>
      <x:c r="J117" s="41" t="str">
        <x:v>重大</x:v>
      </x:c>
      <x:c r="K117" s="35" t="str">
        <x:v>高处作业人员；安全员；施工员；班组长</x:v>
      </x:c>
      <x:c r="L117" s="35" t="str">
        <x:v>现场目视+尺寸/仪器测量</x:v>
      </x:c>
      <x:c r="M117" s="35" t="str">
        <x:v>建筑施工高处作业安全技术规范</x:v>
      </x:c>
      <x:c r="N117" s="35" t="str">
        <x:v>JGJ 80-2016</x:v>
      </x:c>
      <x:c r="O117" s="35" t="str">
        <x:v>行业标准</x:v>
      </x:c>
      <x:c r="P117" s="35" t="str">
        <x:v>现行版本（提交前建议再核验官方状态）</x:v>
      </x:c>
      <x:c r="Q117" s="35" t="str">
        <x:v>6.2.2</x:v>
      </x:c>
      <x:c r="R117" s="35" t="str">
        <x:v>6.2.2移动式操作平台的轮子与平台架体连接应牢固，立柱底端离地面不得大于80mm，行走轮和导向轮应配有制动器或刹车闸等制动措施</x:v>
      </x:c>
      <x:c r="S117" s="41" t="n">
        <x:v>19</x:v>
      </x:c>
      <x:c r="T117" s="44" t="n">
        <x:v>13</x:v>
      </x:c>
    </x:row>
    <x:row r="118" ht="56" customHeight="1">
      <x:c r="A118" s="40" t="str">
        <x:v>YD-003</x:v>
      </x:c>
      <x:c r="B118" s="41" t="str">
        <x:v>启用</x:v>
      </x:c>
      <x:c r="C118" s="35" t="str">
        <x:v>移动式操作平台</x:v>
      </x:c>
      <x:c r="D118" s="35" t="str">
        <x:v>移动平台搭设与使用</x:v>
      </x:c>
      <x:c r="E118" s="35" t="str">
        <x:v>搭设、移动或使用移动式操作平台时</x:v>
      </x:c>
      <x:c r="F118" s="35" t="str">
        <x:v>移动式操作平台移动时，操作平台上不得站人</x:v>
      </x:c>
      <x:c r="G118" s="35" t="str">
        <x:v>无明确数值；按文本要求判断</x:v>
      </x:c>
      <x:c r="H118" s="41" t="str">
        <x:v>禁止/不得</x:v>
      </x:c>
      <x:c r="I118" s="35" t="str">
        <x:v>高处坠落；物体打击</x:v>
      </x:c>
      <x:c r="J118" s="41" t="str">
        <x:v>重大</x:v>
      </x:c>
      <x:c r="K118" s="35" t="str">
        <x:v>高处作业人员；安全员；施工员；班组长</x:v>
      </x:c>
      <x:c r="L118" s="35" t="str">
        <x:v>现场目视或影像检查</x:v>
      </x:c>
      <x:c r="M118" s="35" t="str">
        <x:v>建筑施工高处作业安全技术规范</x:v>
      </x:c>
      <x:c r="N118" s="35" t="str">
        <x:v>JGJ 80-2016</x:v>
      </x:c>
      <x:c r="O118" s="35" t="str">
        <x:v>行业标准</x:v>
      </x:c>
      <x:c r="P118" s="35" t="str">
        <x:v>现行版本（提交前建议再核验官方状态）</x:v>
      </x:c>
      <x:c r="Q118" s="35" t="str">
        <x:v>6.2.4</x:v>
      </x:c>
      <x:c r="R118" s="35" t="str">
        <x:v>6.2.4移动式操作平台移动时，操作平台上不得站人。13</x:v>
      </x:c>
      <x:c r="S118" s="41" t="n">
        <x:v>19</x:v>
      </x:c>
      <x:c r="T118" s="44" t="n">
        <x:v>13</x:v>
      </x:c>
    </x:row>
    <x:row r="119" ht="56" customHeight="1">
      <x:c r="A119" s="40" t="str">
        <x:v>YD-004</x:v>
      </x:c>
      <x:c r="B119" s="41" t="str">
        <x:v>启用</x:v>
      </x:c>
      <x:c r="C119" s="35" t="str">
        <x:v>移动式操作平台</x:v>
      </x:c>
      <x:c r="D119" s="35" t="str">
        <x:v>移动平台搭设与使用</x:v>
      </x:c>
      <x:c r="E119" s="35" t="str">
        <x:v>搭设、移动或使用移动式操作平台时</x:v>
      </x:c>
      <x:c r="F119" s="35" t="str">
        <x:v>移动式升降工作平台应符合现行国家标准《移动式升降工作平台设计计算、安全要求和测试方法》GB25849和《移动式升降工作平台安全规则、检查、维护和操作》GB/T27548的要求</x:v>
      </x:c>
      <x:c r="G119" s="35" t="str">
        <x:v>无明确数值；按文本要求判断</x:v>
      </x:c>
      <x:c r="H119" s="41" t="str">
        <x:v>应执行</x:v>
      </x:c>
      <x:c r="I119" s="35" t="str">
        <x:v>高处坠落；物体打击</x:v>
      </x:c>
      <x:c r="J119" s="41" t="str">
        <x:v>较大</x:v>
      </x:c>
      <x:c r="K119" s="35" t="str">
        <x:v>技术负责人；方案编制人员；项目负责人；安全员</x:v>
      </x:c>
      <x:c r="L119" s="35" t="str">
        <x:v>文件核验</x:v>
      </x:c>
      <x:c r="M119" s="35" t="str">
        <x:v>建筑施工高处作业安全技术规范</x:v>
      </x:c>
      <x:c r="N119" s="35" t="str">
        <x:v>JGJ 80-2016</x:v>
      </x:c>
      <x:c r="O119" s="35" t="str">
        <x:v>行业标准</x:v>
      </x:c>
      <x:c r="P119" s="35" t="str">
        <x:v>现行版本（提交前建议再核验官方状态）</x:v>
      </x:c>
      <x:c r="Q119" s="35" t="str">
        <x:v>6.2.5</x:v>
      </x:c>
      <x:c r="R119" s="35" t="str">
        <x:v>6.2.5移动式升降工作平台应符合现行国家标准《移动式升降工作平台设计计算、安全要求和测试方法》GB25849和《移动式升降工作平台安全规则、检查、维护和操作》GB/T27548的要求</x:v>
      </x:c>
      <x:c r="S119" s="41" t="n">
        <x:v>20</x:v>
      </x:c>
      <x:c r="T119" s="44" t="n">
        <x:v>14</x:v>
      </x:c>
    </x:row>
    <x:row r="120" ht="56" customHeight="1">
      <x:c r="A120" s="40" t="str">
        <x:v>YD-005</x:v>
      </x:c>
      <x:c r="B120" s="41" t="str">
        <x:v>启用</x:v>
      </x:c>
      <x:c r="C120" s="35" t="str">
        <x:v>移动式操作平台</x:v>
      </x:c>
      <x:c r="D120" s="35" t="str">
        <x:v>移动平台搭设与使用</x:v>
      </x:c>
      <x:c r="E120" s="35" t="str">
        <x:v>搭设、移动或使用移动式操作平台时</x:v>
      </x:c>
      <x:c r="F120" s="35" t="str">
        <x:v>移动式操作平台的结构设计计算应符合本规范附录B的规定</x:v>
      </x:c>
      <x:c r="G120" s="35" t="str">
        <x:v>无明确数值；按文本要求判断</x:v>
      </x:c>
      <x:c r="H120" s="41" t="str">
        <x:v>应执行</x:v>
      </x:c>
      <x:c r="I120" s="35" t="str">
        <x:v>高处坠落；物体打击</x:v>
      </x:c>
      <x:c r="J120" s="41" t="str">
        <x:v>较大</x:v>
      </x:c>
      <x:c r="K120" s="35" t="str">
        <x:v>技术负责人；方案编制人员；项目负责人；安全员</x:v>
      </x:c>
      <x:c r="L120" s="35" t="str">
        <x:v>文件核验</x:v>
      </x:c>
      <x:c r="M120" s="35" t="str">
        <x:v>建筑施工高处作业安全技术规范</x:v>
      </x:c>
      <x:c r="N120" s="35" t="str">
        <x:v>JGJ 80-2016</x:v>
      </x:c>
      <x:c r="O120" s="35" t="str">
        <x:v>行业标准</x:v>
      </x:c>
      <x:c r="P120" s="35" t="str">
        <x:v>现行版本（提交前建议再核验官方状态）</x:v>
      </x:c>
      <x:c r="Q120" s="35" t="str">
        <x:v>6.2.6</x:v>
      </x:c>
      <x:c r="R120" s="35" t="str">
        <x:v>6.2.6移动式操作平台的结构设计计算应符合本规范附录B的规定</x:v>
      </x:c>
      <x:c r="S120" s="41" t="n">
        <x:v>20</x:v>
      </x:c>
      <x:c r="T120" s="44" t="n">
        <x:v>14</x:v>
      </x:c>
    </x:row>
    <x:row r="121" ht="56" customHeight="1">
      <x:c r="A121" s="40" t="str">
        <x:v>LD-001</x:v>
      </x:c>
      <x:c r="B121" s="41" t="str">
        <x:v>启用</x:v>
      </x:c>
      <x:c r="C121" s="35" t="str">
        <x:v>落地式操作平台</x:v>
      </x:c>
      <x:c r="D121" s="35" t="str">
        <x:v>落地平台搭设、使用与拆除</x:v>
      </x:c>
      <x:c r="E121" s="35" t="str">
        <x:v>搭设、使用或拆除落地式操作平台时</x:v>
      </x:c>
      <x:c r="F121" s="35" t="str">
        <x:v>操作平台高度不应大于15m，高宽比不应大于3：1</x:v>
      </x:c>
      <x:c r="G121" s="35" t="str">
        <x:v>15m；3：1</x:v>
      </x:c>
      <x:c r="H121" s="41" t="str">
        <x:v>禁止/不得</x:v>
      </x:c>
      <x:c r="I121" s="35" t="str">
        <x:v>高处坠落；物体打击</x:v>
      </x:c>
      <x:c r="J121" s="41" t="str">
        <x:v>重大</x:v>
      </x:c>
      <x:c r="K121" s="35" t="str">
        <x:v>高处作业人员；安全员；施工员；班组长</x:v>
      </x:c>
      <x:c r="L121" s="35" t="str">
        <x:v>现场目视+尺寸/仪器测量</x:v>
      </x:c>
      <x:c r="M121" s="35" t="str">
        <x:v>建筑施工高处作业安全技术规范</x:v>
      </x:c>
      <x:c r="N121" s="35" t="str">
        <x:v>JGJ 80-2016</x:v>
      </x:c>
      <x:c r="O121" s="35" t="str">
        <x:v>行业标准</x:v>
      </x:c>
      <x:c r="P121" s="35" t="str">
        <x:v>现行版本（提交前建议再核验官方状态）</x:v>
      </x:c>
      <x:c r="Q121" s="35" t="str">
        <x:v>6.3.1</x:v>
      </x:c>
      <x:c r="R121"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1" s="41" t="n">
        <x:v>20</x:v>
      </x:c>
      <x:c r="T121" s="44" t="n">
        <x:v>14</x:v>
      </x:c>
    </x:row>
    <x:row r="122" ht="56" customHeight="1">
      <x:c r="A122" s="40" t="str">
        <x:v>LD-002</x:v>
      </x:c>
      <x:c r="B122" s="41" t="str">
        <x:v>启用</x:v>
      </x:c>
      <x:c r="C122" s="35" t="str">
        <x:v>落地式操作平台</x:v>
      </x:c>
      <x:c r="D122" s="35" t="str">
        <x:v>落地平台搭设、使用与拆除</x:v>
      </x:c>
      <x:c r="E122" s="35" t="str">
        <x:v>搭设、使用或拆除落地式操作平台时</x:v>
      </x:c>
      <x:c r="F122" s="35" t="str">
        <x:v>施工平台的施工荷载不应大于2.0kN/m²</x:v>
      </x:c>
      <x:c r="G122" s="35" t="str">
        <x:v>2.0kN/m²</x:v>
      </x:c>
      <x:c r="H122" s="41" t="str">
        <x:v>禁止/不得</x:v>
      </x:c>
      <x:c r="I122" s="35" t="str">
        <x:v>高处坠落；物体打击</x:v>
      </x:c>
      <x:c r="J122" s="41" t="str">
        <x:v>重大</x:v>
      </x:c>
      <x:c r="K122" s="35" t="str">
        <x:v>高处作业人员；安全员；施工员；班组长</x:v>
      </x:c>
      <x:c r="L122" s="35" t="str">
        <x:v>现场目视+尺寸/仪器测量</x:v>
      </x:c>
      <x:c r="M122" s="35" t="str">
        <x:v>建筑施工高处作业安全技术规范</x:v>
      </x:c>
      <x:c r="N122" s="35" t="str">
        <x:v>JGJ 80-2016</x:v>
      </x:c>
      <x:c r="O122" s="35" t="str">
        <x:v>行业标准</x:v>
      </x:c>
      <x:c r="P122" s="35" t="str">
        <x:v>现行版本（提交前建议再核验官方状态）</x:v>
      </x:c>
      <x:c r="Q122" s="35" t="str">
        <x:v>6.3.1</x:v>
      </x:c>
      <x:c r="R122"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2" s="41" t="n">
        <x:v>20</x:v>
      </x:c>
      <x:c r="T122" s="44" t="n">
        <x:v>14</x:v>
      </x:c>
    </x:row>
    <x:row r="123" ht="56" customHeight="1">
      <x:c r="A123" s="40" t="str">
        <x:v>LD-003</x:v>
      </x:c>
      <x:c r="B123" s="41" t="str">
        <x:v>启用</x:v>
      </x:c>
      <x:c r="C123" s="35" t="str">
        <x:v>落地式操作平台</x:v>
      </x:c>
      <x:c r="D123" s="35" t="str">
        <x:v>落地平台搭设、使用与拆除</x:v>
      </x:c>
      <x:c r="E123" s="35" t="str">
        <x:v>当接料平台的施工荷载大于2.0kN/m时</x:v>
      </x:c>
      <x:c r="F123" s="35" t="str">
        <x:v>当接料平台的施工荷载大于2.0kN/m时，应进行专项设计</x:v>
      </x:c>
      <x:c r="G123" s="35" t="str">
        <x:v>2.0kN/m</x:v>
      </x:c>
      <x:c r="H123" s="41" t="str">
        <x:v>应执行</x:v>
      </x:c>
      <x:c r="I123" s="35" t="str">
        <x:v>高处坠落；物体打击</x:v>
      </x:c>
      <x:c r="J123" s="41" t="str">
        <x:v>较大</x:v>
      </x:c>
      <x:c r="K123" s="35" t="str">
        <x:v>技术负责人；方案编制人员；项目负责人；安全员</x:v>
      </x:c>
      <x:c r="L123" s="35" t="str">
        <x:v>现场目视+尺寸/仪器测量</x:v>
      </x:c>
      <x:c r="M123" s="35" t="str">
        <x:v>建筑施工高处作业安全技术规范</x:v>
      </x:c>
      <x:c r="N123" s="35" t="str">
        <x:v>JGJ 80-2016</x:v>
      </x:c>
      <x:c r="O123" s="35" t="str">
        <x:v>行业标准</x:v>
      </x:c>
      <x:c r="P123" s="35" t="str">
        <x:v>现行版本（提交前建议再核验官方状态）</x:v>
      </x:c>
      <x:c r="Q123" s="35" t="str">
        <x:v>6.3.1</x:v>
      </x:c>
      <x:c r="R123"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3" s="41" t="n">
        <x:v>20</x:v>
      </x:c>
      <x:c r="T123" s="44" t="n">
        <x:v>14</x:v>
      </x:c>
    </x:row>
    <x:row r="124" ht="56" customHeight="1">
      <x:c r="A124" s="40" t="str">
        <x:v>LD-004</x:v>
      </x:c>
      <x:c r="B124" s="41" t="str">
        <x:v>启用</x:v>
      </x:c>
      <x:c r="C124" s="35" t="str">
        <x:v>落地式操作平台</x:v>
      </x:c>
      <x:c r="D124" s="35" t="str">
        <x:v>落地平台搭设、使用与拆除</x:v>
      </x:c>
      <x:c r="E124" s="35" t="str">
        <x:v>搭设、使用或拆除落地式操作平台时</x:v>
      </x:c>
      <x:c r="F124" s="35" t="str">
        <x:v>操作平台应与建筑物进行刚性连接或加设防倾措施，不得与脚手架连接</x:v>
      </x:c>
      <x:c r="G124" s="35" t="str">
        <x:v>无明确数值；按文本要求判断</x:v>
      </x:c>
      <x:c r="H124" s="41" t="str">
        <x:v>禁止/不得</x:v>
      </x:c>
      <x:c r="I124" s="35" t="str">
        <x:v>高处坠落；物体打击</x:v>
      </x:c>
      <x:c r="J124" s="41" t="str">
        <x:v>重大</x:v>
      </x:c>
      <x:c r="K124" s="35" t="str">
        <x:v>高处作业人员；安全员；施工员；班组长</x:v>
      </x:c>
      <x:c r="L124" s="35" t="str">
        <x:v>现场检查+人工确认</x:v>
      </x:c>
      <x:c r="M124" s="35" t="str">
        <x:v>建筑施工高处作业安全技术规范</x:v>
      </x:c>
      <x:c r="N124" s="35" t="str">
        <x:v>JGJ 80-2016</x:v>
      </x:c>
      <x:c r="O124" s="35" t="str">
        <x:v>行业标准</x:v>
      </x:c>
      <x:c r="P124" s="35" t="str">
        <x:v>现行版本（提交前建议再核验官方状态）</x:v>
      </x:c>
      <x:c r="Q124" s="35" t="str">
        <x:v>6.3.1</x:v>
      </x:c>
      <x:c r="R124"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4" s="41" t="n">
        <x:v>20</x:v>
      </x:c>
      <x:c r="T124" s="44" t="n">
        <x:v>14</x:v>
      </x:c>
    </x:row>
    <x:row r="125" ht="56" customHeight="1">
      <x:c r="A125" s="40" t="str">
        <x:v>LD-005</x:v>
      </x:c>
      <x:c r="B125" s="41" t="str">
        <x:v>启用</x:v>
      </x:c>
      <x:c r="C125" s="35" t="str">
        <x:v>落地式操作平台</x:v>
      </x:c>
      <x:c r="D125" s="35" t="str">
        <x:v>落地平台搭设、使用与拆除</x:v>
      </x:c>
      <x:c r="E125" s="35" t="str">
        <x:v>搭设、使用或拆除落地式操作平台时</x:v>
      </x:c>
      <x:c r="F125" s="35" t="str">
        <x:v>用脚手架搭设操作平台时，其立杆间距和步距等结构要求应符合国家现行相关脚手架规范的规定</x:v>
      </x:c>
      <x:c r="G125" s="35" t="str">
        <x:v>无明确数值；按文本要求判断</x:v>
      </x:c>
      <x:c r="H125" s="41" t="str">
        <x:v>应执行</x:v>
      </x:c>
      <x:c r="I125" s="35" t="str">
        <x:v>高处坠落；物体打击</x:v>
      </x:c>
      <x:c r="J125" s="41" t="str">
        <x:v>较大</x:v>
      </x:c>
      <x:c r="K125" s="35" t="str">
        <x:v>高处作业人员；安全员；施工员；班组长</x:v>
      </x:c>
      <x:c r="L125" s="35" t="str">
        <x:v>现场检查+人工确认</x:v>
      </x:c>
      <x:c r="M125" s="35" t="str">
        <x:v>建筑施工高处作业安全技术规范</x:v>
      </x:c>
      <x:c r="N125" s="35" t="str">
        <x:v>JGJ 80-2016</x:v>
      </x:c>
      <x:c r="O125" s="35" t="str">
        <x:v>行业标准</x:v>
      </x:c>
      <x:c r="P125" s="35" t="str">
        <x:v>现行版本（提交前建议再核验官方状态）</x:v>
      </x:c>
      <x:c r="Q125" s="35" t="str">
        <x:v>6.3.1</x:v>
      </x:c>
      <x:c r="R125"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5" s="41" t="n">
        <x:v>20</x:v>
      </x:c>
      <x:c r="T125" s="44" t="n">
        <x:v>14</x:v>
      </x:c>
    </x:row>
    <x:row r="126" ht="56" customHeight="1">
      <x:c r="A126" s="40" t="str">
        <x:v>LD-006</x:v>
      </x:c>
      <x:c r="B126" s="41" t="str">
        <x:v>启用</x:v>
      </x:c>
      <x:c r="C126" s="35" t="str">
        <x:v>落地式操作平台</x:v>
      </x:c>
      <x:c r="D126" s="35" t="str">
        <x:v>落地平台搭设、使用与拆除</x:v>
      </x:c>
      <x:c r="E126" s="35" t="str">
        <x:v>搭设、使用或拆除落地式操作平台时</x:v>
      </x:c>
      <x:c r="F126" s="35" t="str">
        <x:v>应在立杆下部设置底座或垫板、纵向与横向扫地杆，并应在外立面设置剪刀撑或斜撑</x:v>
      </x:c>
      <x:c r="G126" s="35" t="str">
        <x:v>无明确数值；按文本要求判断</x:v>
      </x:c>
      <x:c r="H126" s="41" t="str">
        <x:v>应执行</x:v>
      </x:c>
      <x:c r="I126" s="35" t="str">
        <x:v>高处坠落；物体打击</x:v>
      </x:c>
      <x:c r="J126" s="41" t="str">
        <x:v>较大</x:v>
      </x:c>
      <x:c r="K126" s="35" t="str">
        <x:v>高处作业人员；安全员；施工员；班组长</x:v>
      </x:c>
      <x:c r="L126" s="35" t="str">
        <x:v>现场目视或影像检查</x:v>
      </x:c>
      <x:c r="M126" s="35" t="str">
        <x:v>建筑施工高处作业安全技术规范</x:v>
      </x:c>
      <x:c r="N126" s="35" t="str">
        <x:v>JGJ 80-2016</x:v>
      </x:c>
      <x:c r="O126" s="35" t="str">
        <x:v>行业标准</x:v>
      </x:c>
      <x:c r="P126" s="35" t="str">
        <x:v>现行版本（提交前建议再核验官方状态）</x:v>
      </x:c>
      <x:c r="Q126" s="35" t="str">
        <x:v>6.3.1</x:v>
      </x:c>
      <x:c r="R126"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6" s="41" t="n">
        <x:v>20</x:v>
      </x:c>
      <x:c r="T126" s="44" t="n">
        <x:v>14</x:v>
      </x:c>
    </x:row>
    <x:row r="127" ht="56" customHeight="1">
      <x:c r="A127" s="40" t="str">
        <x:v>LD-007</x:v>
      </x:c>
      <x:c r="B127" s="41" t="str">
        <x:v>启用</x:v>
      </x:c>
      <x:c r="C127" s="35" t="str">
        <x:v>落地式操作平台</x:v>
      </x:c>
      <x:c r="D127" s="35" t="str">
        <x:v>落地平台搭设、使用与拆除</x:v>
      </x:c>
      <x:c r="E127" s="35" t="str">
        <x:v>搭设、使用或拆除落地式操作平台时</x:v>
      </x:c>
      <x:c r="F127" s="35" t="str">
        <x:v>操作平台应从底层第一步水平杆起逐层设置连墙件，且连墙件间隔不应大于4m，并应设置水平剪刀撑</x:v>
      </x:c>
      <x:c r="G127" s="35" t="str">
        <x:v>4m</x:v>
      </x:c>
      <x:c r="H127" s="41" t="str">
        <x:v>禁止/不得</x:v>
      </x:c>
      <x:c r="I127" s="35" t="str">
        <x:v>高处坠落；物体打击</x:v>
      </x:c>
      <x:c r="J127" s="41" t="str">
        <x:v>重大</x:v>
      </x:c>
      <x:c r="K127" s="35" t="str">
        <x:v>高处作业人员；安全员；施工员；班组长</x:v>
      </x:c>
      <x:c r="L127" s="35" t="str">
        <x:v>现场目视+尺寸/仪器测量</x:v>
      </x:c>
      <x:c r="M127" s="35" t="str">
        <x:v>建筑施工高处作业安全技术规范</x:v>
      </x:c>
      <x:c r="N127" s="35" t="str">
        <x:v>JGJ 80-2016</x:v>
      </x:c>
      <x:c r="O127" s="35" t="str">
        <x:v>行业标准</x:v>
      </x:c>
      <x:c r="P127" s="35" t="str">
        <x:v>现行版本（提交前建议再核验官方状态）</x:v>
      </x:c>
      <x:c r="Q127" s="35" t="str">
        <x:v>6.3.1</x:v>
      </x:c>
      <x:c r="R127"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7" s="41" t="n">
        <x:v>20</x:v>
      </x:c>
      <x:c r="T127" s="44" t="n">
        <x:v>14</x:v>
      </x:c>
    </x:row>
    <x:row r="128" ht="56" customHeight="1">
      <x:c r="A128" s="40" t="str">
        <x:v>LD-008</x:v>
      </x:c>
      <x:c r="B128" s="41" t="str">
        <x:v>启用</x:v>
      </x:c>
      <x:c r="C128" s="35" t="str">
        <x:v>落地式操作平台</x:v>
      </x:c>
      <x:c r="D128" s="35" t="str">
        <x:v>落地平台搭设、使用与拆除</x:v>
      </x:c>
      <x:c r="E128" s="35" t="str">
        <x:v>搭设、使用或拆除落地式操作平台时</x:v>
      </x:c>
      <x:c r="F128" s="35" t="str">
        <x:v>连墙件应为可承受拉力和压力的构件，并应与建筑结构可靠连接</x:v>
      </x:c>
      <x:c r="G128" s="35" t="str">
        <x:v>无明确数值；按文本要求判断</x:v>
      </x:c>
      <x:c r="H128" s="41" t="str">
        <x:v>应执行</x:v>
      </x:c>
      <x:c r="I128" s="35" t="str">
        <x:v>高处坠落；物体打击</x:v>
      </x:c>
      <x:c r="J128" s="41" t="str">
        <x:v>较大</x:v>
      </x:c>
      <x:c r="K128" s="35" t="str">
        <x:v>高处作业人员；安全员；施工员；班组长</x:v>
      </x:c>
      <x:c r="L128" s="35" t="str">
        <x:v>现场检查+人工确认</x:v>
      </x:c>
      <x:c r="M128" s="35" t="str">
        <x:v>建筑施工高处作业安全技术规范</x:v>
      </x:c>
      <x:c r="N128" s="35" t="str">
        <x:v>JGJ 80-2016</x:v>
      </x:c>
      <x:c r="O128" s="35" t="str">
        <x:v>行业标准</x:v>
      </x:c>
      <x:c r="P128" s="35" t="str">
        <x:v>现行版本（提交前建议再核验官方状态）</x:v>
      </x:c>
      <x:c r="Q128" s="35" t="str">
        <x:v>6.3.1</x:v>
      </x:c>
      <x:c r="R128" s="35" t="str">
        <x:v>6.3.1落地式操作平台架体构造应符合下列规定：1操作平台高度不应大于15m，高宽比不应大于3：1；2施工平台的施工荷载不应大于2.0kN/m²；当接料平台的施工荷载大于2.0kN/m时，应进行专项设计；3操作平台应与建筑物进行刚性连接或加设防倾措施，不得与脚手架连接；》T4用脚手架搭设操作平台时，其立杆间距和步距等结构要求应符合国家现行相关脚手架规范的规定；应在立杆下部设置底座或垫板、纵向与横向扫地杆，并应在外立面设置剪刀撑或斜撑；5操作平台应从底层第一步水平杆起逐层设置连墙件，且连墙件间隔不应大于4m，并应设置水平剪刀撑。连墙件应为可承受拉力和压力的构件，并应与建筑结构可靠连接</x:v>
      </x:c>
      <x:c r="S128" s="41" t="n">
        <x:v>20</x:v>
      </x:c>
      <x:c r="T128" s="44" t="n">
        <x:v>14</x:v>
      </x:c>
    </x:row>
    <x:row r="129" ht="56" customHeight="1">
      <x:c r="A129" s="40" t="str">
        <x:v>LD-009</x:v>
      </x:c>
      <x:c r="B129" s="41" t="str">
        <x:v>启用</x:v>
      </x:c>
      <x:c r="C129" s="35" t="str">
        <x:v>落地式操作平台</x:v>
      </x:c>
      <x:c r="D129" s="35" t="str">
        <x:v>落地平台搭设、使用与拆除</x:v>
      </x:c>
      <x:c r="E129" s="35" t="str">
        <x:v>搭设、使用或拆除落地式操作平台时</x:v>
      </x:c>
      <x:c r="F129" s="35" t="str">
        <x:v>落地式操作平台搭设材料及搭设技术要求、允许偏差应符合国家现行相关脚手架标准的规定</x:v>
      </x:c>
      <x:c r="G129" s="35" t="str">
        <x:v>无明确数值；按文本要求判断</x:v>
      </x:c>
      <x:c r="H129" s="41" t="str">
        <x:v>应执行</x:v>
      </x:c>
      <x:c r="I129" s="35" t="str">
        <x:v>高处坠落；物体打击</x:v>
      </x:c>
      <x:c r="J129" s="41" t="str">
        <x:v>较大</x:v>
      </x:c>
      <x:c r="K129" s="35" t="str">
        <x:v>高处作业人员；安全员；施工员；班组长</x:v>
      </x:c>
      <x:c r="L129" s="35" t="str">
        <x:v>现场检查+人工确认</x:v>
      </x:c>
      <x:c r="M129" s="35" t="str">
        <x:v>建筑施工高处作业安全技术规范</x:v>
      </x:c>
      <x:c r="N129" s="35" t="str">
        <x:v>JGJ 80-2016</x:v>
      </x:c>
      <x:c r="O129" s="35" t="str">
        <x:v>行业标准</x:v>
      </x:c>
      <x:c r="P129" s="35" t="str">
        <x:v>现行版本（提交前建议再核验官方状态）</x:v>
      </x:c>
      <x:c r="Q129" s="35" t="str">
        <x:v>6.3.2</x:v>
      </x:c>
      <x:c r="R129" s="35" t="str">
        <x:v>6.3.2落地式操作平台搭设材料及搭设技术要求、允许偏差应符合国家现行相关脚手架标准的规定</x:v>
      </x:c>
      <x:c r="S129" s="41" t="n">
        <x:v>20</x:v>
      </x:c>
      <x:c r="T129" s="44" t="n">
        <x:v>14</x:v>
      </x:c>
    </x:row>
    <x:row r="130" ht="56" customHeight="1">
      <x:c r="A130" s="40" t="str">
        <x:v>LD-010</x:v>
      </x:c>
      <x:c r="B130" s="41" t="str">
        <x:v>启用</x:v>
      </x:c>
      <x:c r="C130" s="35" t="str">
        <x:v>落地式操作平台</x:v>
      </x:c>
      <x:c r="D130" s="35" t="str">
        <x:v>落地平台搭设、使用与拆除</x:v>
      </x:c>
      <x:c r="E130" s="35" t="str">
        <x:v>搭设、使用或拆除落地式操作平台时</x:v>
      </x:c>
      <x:c r="F130" s="35" t="str">
        <x:v>落地式操作平台应按国家现行相关脚手架标准的规定计算受弯构件强度、连接扣件抗滑承载力、立杆稳定性、连墙杆件强度与稳定性及连接强度、立杆地基承载力等</x:v>
      </x:c>
      <x:c r="G130" s="35" t="str">
        <x:v>无明确数值；按文本要求判断</x:v>
      </x:c>
      <x:c r="H130" s="41" t="str">
        <x:v>应执行</x:v>
      </x:c>
      <x:c r="I130" s="35" t="str">
        <x:v>高处坠落；物体打击</x:v>
      </x:c>
      <x:c r="J130" s="41" t="str">
        <x:v>较大</x:v>
      </x:c>
      <x:c r="K130" s="35" t="str">
        <x:v>技术负责人；方案编制人员；项目负责人；安全员</x:v>
      </x:c>
      <x:c r="L130" s="35" t="str">
        <x:v>现场检查+人工确认</x:v>
      </x:c>
      <x:c r="M130" s="35" t="str">
        <x:v>建筑施工高处作业安全技术规范</x:v>
      </x:c>
      <x:c r="N130" s="35" t="str">
        <x:v>JGJ 80-2016</x:v>
      </x:c>
      <x:c r="O130" s="35" t="str">
        <x:v>行业标准</x:v>
      </x:c>
      <x:c r="P130" s="35" t="str">
        <x:v>现行版本（提交前建议再核验官方状态）</x:v>
      </x:c>
      <x:c r="Q130" s="35" t="str">
        <x:v>6.3.3</x:v>
      </x:c>
      <x:c r="R130" s="35" t="str">
        <x:v>6.3.3落地式操作平台应按国家现行相关脚手架标准的规定计算受弯构件强度、连接扣件抗滑承载力、立杆稳定性、连墙杆件强度与稳定性及连接强度、立杆地基承载力等</x:v>
      </x:c>
      <x:c r="S130" s="41" t="n">
        <x:v>20</x:v>
      </x:c>
      <x:c r="T130" s="44" t="n">
        <x:v>14</x:v>
      </x:c>
    </x:row>
    <x:row r="131" ht="56" customHeight="1">
      <x:c r="A131" s="40" t="str">
        <x:v>LD-011</x:v>
      </x:c>
      <x:c r="B131" s="41" t="str">
        <x:v>启用</x:v>
      </x:c>
      <x:c r="C131" s="35" t="str">
        <x:v>落地式操作平台</x:v>
      </x:c>
      <x:c r="D131" s="35" t="str">
        <x:v>落地平台搭设、使用与拆除</x:v>
      </x:c>
      <x:c r="E131" s="35" t="str">
        <x:v>搭设、使用或拆除落地式操作平台时</x:v>
      </x:c>
      <x:c r="F131" s="35" t="str">
        <x:v>落地式操作平台一次搭设高度不应超过相邻连墙件以上两步</x:v>
      </x:c>
      <x:c r="G131" s="35" t="str">
        <x:v>无明确数值；按文本要求判断</x:v>
      </x:c>
      <x:c r="H131" s="41" t="str">
        <x:v>禁止/不得</x:v>
      </x:c>
      <x:c r="I131" s="35" t="str">
        <x:v>高处坠落；物体打击</x:v>
      </x:c>
      <x:c r="J131" s="41" t="str">
        <x:v>重大</x:v>
      </x:c>
      <x:c r="K131" s="35" t="str">
        <x:v>高处作业人员；安全员；施工员；班组长</x:v>
      </x:c>
      <x:c r="L131" s="35" t="str">
        <x:v>现场检查+人工确认</x:v>
      </x:c>
      <x:c r="M131" s="35" t="str">
        <x:v>建筑施工高处作业安全技术规范</x:v>
      </x:c>
      <x:c r="N131" s="35" t="str">
        <x:v>JGJ 80-2016</x:v>
      </x:c>
      <x:c r="O131" s="35" t="str">
        <x:v>行业标准</x:v>
      </x:c>
      <x:c r="P131" s="35" t="str">
        <x:v>现行版本（提交前建议再核验官方状态）</x:v>
      </x:c>
      <x:c r="Q131" s="35" t="str">
        <x:v>6.3.4</x:v>
      </x:c>
      <x:c r="R131" s="35" t="str">
        <x:v>6.3.4落地式操作平台一次搭设高度不应超过相邻连墙件以上两步</x:v>
      </x:c>
      <x:c r="S131" s="41" t="n">
        <x:v>20</x:v>
      </x:c>
      <x:c r="T131" s="44" t="n">
        <x:v>14</x:v>
      </x:c>
    </x:row>
    <x:row r="132" ht="56" customHeight="1">
      <x:c r="A132" s="40" t="str">
        <x:v>LD-012</x:v>
      </x:c>
      <x:c r="B132" s="41" t="str">
        <x:v>启用</x:v>
      </x:c>
      <x:c r="C132" s="35" t="str">
        <x:v>落地式操作平台</x:v>
      </x:c>
      <x:c r="D132" s="35" t="str">
        <x:v>落地平台搭设、使用与拆除</x:v>
      </x:c>
      <x:c r="E132" s="35" t="str">
        <x:v>搭设、使用或拆除落地式操作平台时</x:v>
      </x:c>
      <x:c r="F132" s="35" t="str">
        <x:v>落地式操作平台拆除应由上而下逐层进行，严禁上下同时作业，连墙件应随施工进度逐层拆除</x:v>
      </x:c>
      <x:c r="G132" s="35" t="str">
        <x:v>无明确数值；按文本要求判断</x:v>
      </x:c>
      <x:c r="H132" s="41" t="str">
        <x:v>禁止/不得</x:v>
      </x:c>
      <x:c r="I132" s="35" t="str">
        <x:v>高处坠落；物体打击</x:v>
      </x:c>
      <x:c r="J132" s="41" t="str">
        <x:v>重大</x:v>
      </x:c>
      <x:c r="K132" s="35" t="str">
        <x:v>高处作业人员；安全员；施工员；班组长</x:v>
      </x:c>
      <x:c r="L132" s="35" t="str">
        <x:v>现场检查+人工确认</x:v>
      </x:c>
      <x:c r="M132" s="35" t="str">
        <x:v>建筑施工高处作业安全技术规范</x:v>
      </x:c>
      <x:c r="N132" s="35" t="str">
        <x:v>JGJ 80-2016</x:v>
      </x:c>
      <x:c r="O132" s="35" t="str">
        <x:v>行业标准</x:v>
      </x:c>
      <x:c r="P132" s="35" t="str">
        <x:v>现行版本（提交前建议再核验官方状态）</x:v>
      </x:c>
      <x:c r="Q132" s="35" t="str">
        <x:v>6.3.5</x:v>
      </x:c>
      <x:c r="R132" s="35" t="str">
        <x:v>6.3.5落地式操作平台拆除应由上而下逐层进行，严禁上下同时作业，连墙件应随施工进度逐层拆除。14</x:v>
      </x:c>
      <x:c r="S132" s="41" t="n">
        <x:v>20</x:v>
      </x:c>
      <x:c r="T132" s="44" t="n">
        <x:v>14</x:v>
      </x:c>
    </x:row>
    <x:row r="133" ht="56" customHeight="1">
      <x:c r="A133" s="40" t="str">
        <x:v>LD-013</x:v>
      </x:c>
      <x:c r="B133" s="41" t="str">
        <x:v>启用</x:v>
      </x:c>
      <x:c r="C133" s="35" t="str">
        <x:v>落地式操作平台</x:v>
      </x:c>
      <x:c r="D133" s="35" t="str">
        <x:v>落地平台搭设、使用与拆除</x:v>
      </x:c>
      <x:c r="E133" s="35" t="str">
        <x:v>搭设、使用或拆除落地式操作平台时</x:v>
      </x:c>
      <x:c r="F133" s="35" t="str">
        <x:v>操作平台的钢管和扣件应有产品合格证</x:v>
      </x:c>
      <x:c r="G133" s="35" t="str">
        <x:v>无明确数值；按文本要求判断</x:v>
      </x:c>
      <x:c r="H133" s="41" t="str">
        <x:v>应执行</x:v>
      </x:c>
      <x:c r="I133" s="35" t="str">
        <x:v>高处坠落；物体打击</x:v>
      </x:c>
      <x:c r="J133" s="41" t="str">
        <x:v>较大</x:v>
      </x:c>
      <x:c r="K133" s="35" t="str">
        <x:v>安全员；施工员；监理人员；班组长</x:v>
      </x:c>
      <x:c r="L133" s="35" t="str">
        <x:v>文件核验</x:v>
      </x:c>
      <x:c r="M133" s="35" t="str">
        <x:v>建筑施工高处作业安全技术规范</x:v>
      </x:c>
      <x:c r="N133" s="35" t="str">
        <x:v>JGJ 80-2016</x:v>
      </x:c>
      <x:c r="O133" s="35" t="str">
        <x:v>行业标准</x:v>
      </x:c>
      <x:c r="P133" s="35" t="str">
        <x:v>现行版本（提交前建议再核验官方状态）</x:v>
      </x:c>
      <x:c r="Q133" s="35" t="str">
        <x:v>6.3.6</x:v>
      </x:c>
      <x:c r="R133" s="35" t="str">
        <x:v>6.3.6落地式操作平台检查验收应符合下列规定：1操作平台的钢管和扣件应有产品合格证；2搭设前应对基础进行检查验收，搭设中应随施工进度按结构层对操作平台进行检查验收；3遇6级以上大风、雷雨、大雪等恶劣天气及停用超过1个月，恢复使用前，应进行检查</x:v>
      </x:c>
      <x:c r="S133" s="41" t="n">
        <x:v>21</x:v>
      </x:c>
      <x:c r="T133" s="44" t="n">
        <x:v>15</x:v>
      </x:c>
    </x:row>
    <x:row r="134" ht="56" customHeight="1">
      <x:c r="A134" s="40" t="str">
        <x:v>LD-014</x:v>
      </x:c>
      <x:c r="B134" s="41" t="str">
        <x:v>启用</x:v>
      </x:c>
      <x:c r="C134" s="35" t="str">
        <x:v>落地式操作平台</x:v>
      </x:c>
      <x:c r="D134" s="35" t="str">
        <x:v>落地平台搭设、使用与拆除</x:v>
      </x:c>
      <x:c r="E134" s="35" t="str">
        <x:v>搭设、使用或拆除落地式操作平台时</x:v>
      </x:c>
      <x:c r="F134" s="35" t="str">
        <x:v>搭设前应对基础进行检查验收，搭设中应随施工进度按结构层对操作平台进行检查验收</x:v>
      </x:c>
      <x:c r="G134" s="35" t="str">
        <x:v>无明确数值；按文本要求判断</x:v>
      </x:c>
      <x:c r="H134" s="41" t="str">
        <x:v>应执行</x:v>
      </x:c>
      <x:c r="I134" s="35" t="str">
        <x:v>高处坠落；物体打击</x:v>
      </x:c>
      <x:c r="J134" s="41" t="str">
        <x:v>较大</x:v>
      </x:c>
      <x:c r="K134" s="35" t="str">
        <x:v>安全员；施工员；监理人员；班组长</x:v>
      </x:c>
      <x:c r="L134" s="35" t="str">
        <x:v>现场检查+人工确认</x:v>
      </x:c>
      <x:c r="M134" s="35" t="str">
        <x:v>建筑施工高处作业安全技术规范</x:v>
      </x:c>
      <x:c r="N134" s="35" t="str">
        <x:v>JGJ 80-2016</x:v>
      </x:c>
      <x:c r="O134" s="35" t="str">
        <x:v>行业标准</x:v>
      </x:c>
      <x:c r="P134" s="35" t="str">
        <x:v>现行版本（提交前建议再核验官方状态）</x:v>
      </x:c>
      <x:c r="Q134" s="35" t="str">
        <x:v>6.3.6</x:v>
      </x:c>
      <x:c r="R134" s="35" t="str">
        <x:v>6.3.6落地式操作平台检查验收应符合下列规定：1操作平台的钢管和扣件应有产品合格证；2搭设前应对基础进行检查验收，搭设中应随施工进度按结构层对操作平台进行检查验收；3遇6级以上大风、雷雨、大雪等恶劣天气及停用超过1个月，恢复使用前，应进行检查</x:v>
      </x:c>
      <x:c r="S134" s="41" t="n">
        <x:v>21</x:v>
      </x:c>
      <x:c r="T134" s="44" t="n">
        <x:v>15</x:v>
      </x:c>
    </x:row>
    <x:row r="135" ht="56" customHeight="1">
      <x:c r="A135" s="40" t="str">
        <x:v>LD-015</x:v>
      </x:c>
      <x:c r="B135" s="41" t="str">
        <x:v>启用</x:v>
      </x:c>
      <x:c r="C135" s="35" t="str">
        <x:v>落地式操作平台</x:v>
      </x:c>
      <x:c r="D135" s="35" t="str">
        <x:v>落地平台搭设、使用与拆除</x:v>
      </x:c>
      <x:c r="E135" s="35" t="str">
        <x:v>遇6级以上大风、雷雨、大雪等恶劣天气及停用超过1个月</x:v>
      </x:c>
      <x:c r="F135" s="35" t="str">
        <x:v>遇6级以上大风、雷雨、大雪等恶劣天气及停用超过1个月，恢复使用前，应进行检查</x:v>
      </x:c>
      <x:c r="G135" s="35" t="str">
        <x:v>6级</x:v>
      </x:c>
      <x:c r="H135" s="41" t="str">
        <x:v>应执行</x:v>
      </x:c>
      <x:c r="I135" s="35" t="str">
        <x:v>高处坠落；物体打击</x:v>
      </x:c>
      <x:c r="J135" s="41" t="str">
        <x:v>较大</x:v>
      </x:c>
      <x:c r="K135" s="35" t="str">
        <x:v>安全员；施工员；监理人员；班组长</x:v>
      </x:c>
      <x:c r="L135" s="35" t="str">
        <x:v>现场目视+尺寸/仪器测量</x:v>
      </x:c>
      <x:c r="M135" s="35" t="str">
        <x:v>建筑施工高处作业安全技术规范</x:v>
      </x:c>
      <x:c r="N135" s="35" t="str">
        <x:v>JGJ 80-2016</x:v>
      </x:c>
      <x:c r="O135" s="35" t="str">
        <x:v>行业标准</x:v>
      </x:c>
      <x:c r="P135" s="35" t="str">
        <x:v>现行版本（提交前建议再核验官方状态）</x:v>
      </x:c>
      <x:c r="Q135" s="35" t="str">
        <x:v>6.3.6</x:v>
      </x:c>
      <x:c r="R135" s="35" t="str">
        <x:v>6.3.6落地式操作平台检查验收应符合下列规定：1操作平台的钢管和扣件应有产品合格证；2搭设前应对基础进行检查验收，搭设中应随施工进度按结构层对操作平台进行检查验收；3遇6级以上大风、雷雨、大雪等恶劣天气及停用超过1个月，恢复使用前，应进行检查</x:v>
      </x:c>
      <x:c r="S135" s="41" t="n">
        <x:v>21</x:v>
      </x:c>
      <x:c r="T135" s="44" t="n">
        <x:v>15</x:v>
      </x:c>
    </x:row>
    <x:row r="136" ht="56" customHeight="1">
      <x:c r="A136" s="40" t="str">
        <x:v>XT-001</x:v>
      </x:c>
      <x:c r="B136" s="41" t="str">
        <x:v>启用</x:v>
      </x:c>
      <x:c r="C136" s="35" t="str">
        <x:v>悬挑式操作平台</x:v>
      </x:c>
      <x:c r="D136" s="35" t="str">
        <x:v>悬挑平台设计、安装与使用</x:v>
      </x:c>
      <x:c r="E136" s="35" t="str">
        <x:v>设计、安装、吊运或使用悬挑式操作平台时</x:v>
      </x:c>
      <x:c r="F136" s="35" t="str">
        <x:v>操作平台的搁置点、拉结点支撑点应设置在稳定的主体结构上，且应可靠连接</x:v>
      </x:c>
      <x:c r="G136" s="35" t="str">
        <x:v>无明确数值；按文本要求判断</x:v>
      </x:c>
      <x:c r="H136" s="41" t="str">
        <x:v>应执行</x:v>
      </x:c>
      <x:c r="I136" s="35" t="str">
        <x:v>高处坠落；物体打击</x:v>
      </x:c>
      <x:c r="J136" s="41" t="str">
        <x:v>较大</x:v>
      </x:c>
      <x:c r="K136" s="35" t="str">
        <x:v>高处作业人员；安全员；施工员；班组长</x:v>
      </x:c>
      <x:c r="L136" s="35" t="str">
        <x:v>现场目视或影像检查</x:v>
      </x:c>
      <x:c r="M136" s="35" t="str">
        <x:v>建筑施工高处作业安全技术规范</x:v>
      </x:c>
      <x:c r="N136" s="35" t="str">
        <x:v>JGJ 80-2016</x:v>
      </x:c>
      <x:c r="O136" s="35" t="str">
        <x:v>行业标准</x:v>
      </x:c>
      <x:c r="P136" s="35" t="str">
        <x:v>现行版本（提交前建议再核验官方状态）</x:v>
      </x:c>
      <x:c r="Q136" s="35" t="str">
        <x:v>6.4.1</x:v>
      </x:c>
      <x:c r="R136" s="35" t="str">
        <x:v>6.4.1悬挑式操作平台设置应符合下列规定：1操作平台的搁置点、拉结点支撑点应设置在稳定的主体结构上，且应可靠连接；一2严禁将操作平台设置在临时设施上；3操作平台的结构应稳定可靠，承载力应符合设计要求</x:v>
      </x:c>
      <x:c r="S136" s="41" t="n">
        <x:v>21</x:v>
      </x:c>
      <x:c r="T136" s="44" t="n">
        <x:v>15</x:v>
      </x:c>
    </x:row>
    <x:row r="137" ht="56" customHeight="1">
      <x:c r="A137" s="40" t="str">
        <x:v>XT-002</x:v>
      </x:c>
      <x:c r="B137" s="41" t="str">
        <x:v>启用</x:v>
      </x:c>
      <x:c r="C137" s="35" t="str">
        <x:v>悬挑式操作平台</x:v>
      </x:c>
      <x:c r="D137" s="35" t="str">
        <x:v>悬挑平台设计、安装与使用</x:v>
      </x:c>
      <x:c r="E137" s="35" t="str">
        <x:v>设计、安装、吊运或使用悬挑式操作平台时</x:v>
      </x:c>
      <x:c r="F137" s="35" t="str">
        <x:v>严禁将操作平台设置在临时设施上</x:v>
      </x:c>
      <x:c r="G137" s="35" t="str">
        <x:v>无明确数值；按文本要求判断</x:v>
      </x:c>
      <x:c r="H137" s="41" t="str">
        <x:v>禁止/不得</x:v>
      </x:c>
      <x:c r="I137" s="35" t="str">
        <x:v>高处坠落；物体打击</x:v>
      </x:c>
      <x:c r="J137" s="41" t="str">
        <x:v>重大</x:v>
      </x:c>
      <x:c r="K137" s="35" t="str">
        <x:v>高处作业人员；安全员；施工员；班组长</x:v>
      </x:c>
      <x:c r="L137" s="35" t="str">
        <x:v>现场目视或影像检查</x:v>
      </x:c>
      <x:c r="M137" s="35" t="str">
        <x:v>建筑施工高处作业安全技术规范</x:v>
      </x:c>
      <x:c r="N137" s="35" t="str">
        <x:v>JGJ 80-2016</x:v>
      </x:c>
      <x:c r="O137" s="35" t="str">
        <x:v>行业标准</x:v>
      </x:c>
      <x:c r="P137" s="35" t="str">
        <x:v>现行版本（提交前建议再核验官方状态）</x:v>
      </x:c>
      <x:c r="Q137" s="35" t="str">
        <x:v>6.4.1</x:v>
      </x:c>
      <x:c r="R137" s="35" t="str">
        <x:v>6.4.1悬挑式操作平台设置应符合下列规定：1操作平台的搁置点、拉结点支撑点应设置在稳定的主体结构上，且应可靠连接；一2严禁将操作平台设置在临时设施上；3操作平台的结构应稳定可靠，承载力应符合设计要求</x:v>
      </x:c>
      <x:c r="S137" s="41" t="n">
        <x:v>21</x:v>
      </x:c>
      <x:c r="T137" s="44" t="n">
        <x:v>15</x:v>
      </x:c>
    </x:row>
    <x:row r="138" ht="56" customHeight="1">
      <x:c r="A138" s="40" t="str">
        <x:v>XT-003</x:v>
      </x:c>
      <x:c r="B138" s="41" t="str">
        <x:v>启用</x:v>
      </x:c>
      <x:c r="C138" s="35" t="str">
        <x:v>悬挑式操作平台</x:v>
      </x:c>
      <x:c r="D138" s="35" t="str">
        <x:v>悬挑平台设计、安装与使用</x:v>
      </x:c>
      <x:c r="E138" s="35" t="str">
        <x:v>设计、安装、吊运或使用悬挑式操作平台时</x:v>
      </x:c>
      <x:c r="F138" s="35" t="str">
        <x:v>操作平台的结构应稳定可靠，承载力应符合设计要求</x:v>
      </x:c>
      <x:c r="G138" s="35" t="str">
        <x:v>无明确数值；按文本要求判断</x:v>
      </x:c>
      <x:c r="H138" s="41" t="str">
        <x:v>应执行</x:v>
      </x:c>
      <x:c r="I138" s="35" t="str">
        <x:v>高处坠落；物体打击</x:v>
      </x:c>
      <x:c r="J138" s="41" t="str">
        <x:v>较大</x:v>
      </x:c>
      <x:c r="K138" s="35" t="str">
        <x:v>技术负责人；方案编制人员；项目负责人；安全员</x:v>
      </x:c>
      <x:c r="L138" s="35" t="str">
        <x:v>现场检查+人工确认</x:v>
      </x:c>
      <x:c r="M138" s="35" t="str">
        <x:v>建筑施工高处作业安全技术规范</x:v>
      </x:c>
      <x:c r="N138" s="35" t="str">
        <x:v>JGJ 80-2016</x:v>
      </x:c>
      <x:c r="O138" s="35" t="str">
        <x:v>行业标准</x:v>
      </x:c>
      <x:c r="P138" s="35" t="str">
        <x:v>现行版本（提交前建议再核验官方状态）</x:v>
      </x:c>
      <x:c r="Q138" s="35" t="str">
        <x:v>6.4.1</x:v>
      </x:c>
      <x:c r="R138" s="35" t="str">
        <x:v>6.4.1悬挑式操作平台设置应符合下列规定：1操作平台的搁置点、拉结点支撑点应设置在稳定的主体结构上，且应可靠连接；一2严禁将操作平台设置在临时设施上；3操作平台的结构应稳定可靠，承载力应符合设计要求</x:v>
      </x:c>
      <x:c r="S138" s="41" t="n">
        <x:v>21</x:v>
      </x:c>
      <x:c r="T138" s="44" t="n">
        <x:v>15</x:v>
      </x:c>
    </x:row>
    <x:row r="139" ht="56" customHeight="1">
      <x:c r="A139" s="40" t="str">
        <x:v>XT-004</x:v>
      </x:c>
      <x:c r="B139" s="41" t="str">
        <x:v>启用</x:v>
      </x:c>
      <x:c r="C139" s="35" t="str">
        <x:v>悬挑式操作平台</x:v>
      </x:c>
      <x:c r="D139" s="35" t="str">
        <x:v>悬挑平台设计、安装与使用</x:v>
      </x:c>
      <x:c r="E139" s="35" t="str">
        <x:v>设计、安装、吊运或使用悬挑式操作平台时</x:v>
      </x:c>
      <x:c r="F139" s="35" t="str">
        <x:v>悬挑式操作平台的悬挑长度不宜大于5m，均布荷载不应大于5.5kN/m²，集中荷载不应大于15kN，悬挑梁应锚固固定</x:v>
      </x:c>
      <x:c r="G139" s="35" t="str">
        <x:v>5m；5.5kN/m²；15kN</x:v>
      </x:c>
      <x:c r="H139" s="41" t="str">
        <x:v>禁止/不得</x:v>
      </x:c>
      <x:c r="I139" s="35" t="str">
        <x:v>高处坠落；物体打击</x:v>
      </x:c>
      <x:c r="J139" s="41" t="str">
        <x:v>重大</x:v>
      </x:c>
      <x:c r="K139" s="35" t="str">
        <x:v>高处作业人员；安全员；施工员；班组长</x:v>
      </x:c>
      <x:c r="L139" s="35" t="str">
        <x:v>现场目视+尺寸/仪器测量</x:v>
      </x:c>
      <x:c r="M139" s="35" t="str">
        <x:v>建筑施工高处作业安全技术规范</x:v>
      </x:c>
      <x:c r="N139" s="35" t="str">
        <x:v>JGJ 80-2016</x:v>
      </x:c>
      <x:c r="O139" s="35" t="str">
        <x:v>行业标准</x:v>
      </x:c>
      <x:c r="P139" s="35" t="str">
        <x:v>现行版本（提交前建议再核验官方状态）</x:v>
      </x:c>
      <x:c r="Q139" s="35" t="str">
        <x:v>6.4.2</x:v>
      </x:c>
      <x:c r="R139" s="35" t="str">
        <x:v>6.4.2悬挑式操作平台的悬挑长度不宜大于5m，均布荷载不应大于5.5kN/m²，集中荷载不应大于15kN，悬挑梁应锚固固定</x:v>
      </x:c>
      <x:c r="S139" s="41" t="n">
        <x:v>21</x:v>
      </x:c>
      <x:c r="T139" s="44" t="n">
        <x:v>15</x:v>
      </x:c>
    </x:row>
    <x:row r="140" ht="56" customHeight="1">
      <x:c r="A140" s="40" t="str">
        <x:v>XT-005</x:v>
      </x:c>
      <x:c r="B140" s="41" t="str">
        <x:v>启用</x:v>
      </x:c>
      <x:c r="C140" s="35" t="str">
        <x:v>悬挑式操作平台</x:v>
      </x:c>
      <x:c r="D140" s="35" t="str">
        <x:v>悬挑平台设计、安装与使用</x:v>
      </x:c>
      <x:c r="E140" s="35" t="str">
        <x:v>采用斜拉方式的悬挑式操作平台</x:v>
      </x:c>
      <x:c r="F140" s="35" t="str">
        <x:v>采用斜拉方式的悬挑式操作平台，平台两侧的连接吊环应与前后两道斜拉钢丝绳连接，每一道钢丝绳应能承载该侧所有荷载</x:v>
      </x:c>
      <x:c r="G140" s="35" t="str">
        <x:v>无明确数值；按文本要求判断</x:v>
      </x:c>
      <x:c r="H140" s="41" t="str">
        <x:v>应执行</x:v>
      </x:c>
      <x:c r="I140" s="35" t="str">
        <x:v>高处坠落；物体打击</x:v>
      </x:c>
      <x:c r="J140" s="41" t="str">
        <x:v>较大</x:v>
      </x:c>
      <x:c r="K140" s="35" t="str">
        <x:v>高处作业人员；安全员；施工员；班组长</x:v>
      </x:c>
      <x:c r="L140" s="35" t="str">
        <x:v>现场检查+人工确认</x:v>
      </x:c>
      <x:c r="M140" s="35" t="str">
        <x:v>建筑施工高处作业安全技术规范</x:v>
      </x:c>
      <x:c r="N140" s="35" t="str">
        <x:v>JGJ 80-2016</x:v>
      </x:c>
      <x:c r="O140" s="35" t="str">
        <x:v>行业标准</x:v>
      </x:c>
      <x:c r="P140" s="35" t="str">
        <x:v>现行版本（提交前建议再核验官方状态）</x:v>
      </x:c>
      <x:c r="Q140" s="35" t="str">
        <x:v>6.4.3</x:v>
      </x:c>
      <x:c r="R140" s="35" t="str">
        <x:v>6.4.3采用斜拉方式的悬挑式操作平台，平台两侧的连接吊环应与前后两道斜拉钢丝绳连接，每一道钢丝绳应能承载该侧所有荷载</x:v>
      </x:c>
      <x:c r="S140" s="41" t="n">
        <x:v>21</x:v>
      </x:c>
      <x:c r="T140" s="44" t="n">
        <x:v>15</x:v>
      </x:c>
    </x:row>
    <x:row r="141" ht="56" customHeight="1">
      <x:c r="A141" s="40" t="str">
        <x:v>XT-006</x:v>
      </x:c>
      <x:c r="B141" s="41" t="str">
        <x:v>启用</x:v>
      </x:c>
      <x:c r="C141" s="35" t="str">
        <x:v>悬挑式操作平台</x:v>
      </x:c>
      <x:c r="D141" s="35" t="str">
        <x:v>悬挑平台设计、安装与使用</x:v>
      </x:c>
      <x:c r="E141" s="35" t="str">
        <x:v>采用支承方式的悬挑式操作平台</x:v>
      </x:c>
      <x:c r="F141" s="35" t="str">
        <x:v>采用支承方式的悬挑式操作平台，应在钢平台下方设置不少于两道斜撑，斜撑的一端应支承在钢平台主结构钢梁下，另一端应支承在建筑物主体结构</x:v>
      </x:c>
      <x:c r="G141" s="35" t="str">
        <x:v>无明确数值；按文本要求判断</x:v>
      </x:c>
      <x:c r="H141" s="41" t="str">
        <x:v>应执行</x:v>
      </x:c>
      <x:c r="I141" s="35" t="str">
        <x:v>高处坠落；物体打击</x:v>
      </x:c>
      <x:c r="J141" s="41" t="str">
        <x:v>较大</x:v>
      </x:c>
      <x:c r="K141" s="35" t="str">
        <x:v>高处作业人员；安全员；施工员；班组长</x:v>
      </x:c>
      <x:c r="L141" s="35" t="str">
        <x:v>现场目视或影像检查</x:v>
      </x:c>
      <x:c r="M141" s="35" t="str">
        <x:v>建筑施工高处作业安全技术规范</x:v>
      </x:c>
      <x:c r="N141" s="35" t="str">
        <x:v>JGJ 80-2016</x:v>
      </x:c>
      <x:c r="O141" s="35" t="str">
        <x:v>行业标准</x:v>
      </x:c>
      <x:c r="P141" s="35" t="str">
        <x:v>现行版本（提交前建议再核验官方状态）</x:v>
      </x:c>
      <x:c r="Q141" s="35" t="str">
        <x:v>6.4.4</x:v>
      </x:c>
      <x:c r="R141" s="35" t="str">
        <x:v>6.4.4采用支承方式的悬挑式操作平台，应在钢平台下方设置不少于两道斜撑，斜撑的一端应支承在钢平台主结构钢梁下，另一端应支承在建筑物主体结构</x:v>
      </x:c>
      <x:c r="S141" s="41" t="n">
        <x:v>21</x:v>
      </x:c>
      <x:c r="T141" s="44" t="n">
        <x:v>15</x:v>
      </x:c>
    </x:row>
    <x:row r="142" ht="56" customHeight="1">
      <x:c r="A142" s="40" t="str">
        <x:v>XT-007</x:v>
      </x:c>
      <x:c r="B142" s="41" t="str">
        <x:v>启用</x:v>
      </x:c>
      <x:c r="C142" s="35" t="str">
        <x:v>悬挑式操作平台</x:v>
      </x:c>
      <x:c r="D142" s="35" t="str">
        <x:v>悬挑平台设计、安装与使用</x:v>
      </x:c>
      <x:c r="E142" s="35" t="str">
        <x:v>采用悬臂梁式的操作平台</x:v>
      </x:c>
      <x:c r="F142" s="35" t="str">
        <x:v>采用悬臂梁式的操作平台，应采用型钢制作悬挑梁或悬挑桁架，不得使用钢管，其节点应采用螺栓或焊接的刚性节点</x:v>
      </x:c>
      <x:c r="G142" s="35" t="str">
        <x:v>无明确数值；按文本要求判断</x:v>
      </x:c>
      <x:c r="H142" s="41" t="str">
        <x:v>禁止/不得</x:v>
      </x:c>
      <x:c r="I142" s="35" t="str">
        <x:v>火灾；灼伤；高处坠落</x:v>
      </x:c>
      <x:c r="J142" s="41" t="str">
        <x:v>重大</x:v>
      </x:c>
      <x:c r="K142" s="35" t="str">
        <x:v>高处作业人员；安全员；施工员；班组长</x:v>
      </x:c>
      <x:c r="L142" s="35" t="str">
        <x:v>现场检查+人工确认</x:v>
      </x:c>
      <x:c r="M142" s="35" t="str">
        <x:v>建筑施工高处作业安全技术规范</x:v>
      </x:c>
      <x:c r="N142" s="35" t="str">
        <x:v>JGJ 80-2016</x:v>
      </x:c>
      <x:c r="O142" s="35" t="str">
        <x:v>行业标准</x:v>
      </x:c>
      <x:c r="P142" s="35" t="str">
        <x:v>现行版本（提交前建议再核验官方状态）</x:v>
      </x:c>
      <x:c r="Q142" s="35" t="str">
        <x:v>6.4.5</x:v>
      </x:c>
      <x:c r="R142" s="35" t="str">
        <x:v>6.4.5采用悬臂梁式的操作平台，应采用型钢制作悬挑梁或悬挑桁架，不得使用钢管，其节点应采用螺栓或焊接的刚性节点。当平台板上的主梁采用与主体结构预埋件焊接时，预埋件、焊缝均应经设计计算，建筑主体结构应同时满足强度要求</x:v>
      </x:c>
      <x:c r="S142" s="41" t="n">
        <x:v>21</x:v>
      </x:c>
      <x:c r="T142" s="44" t="n">
        <x:v>15</x:v>
      </x:c>
    </x:row>
    <x:row r="143" ht="56" customHeight="1">
      <x:c r="A143" s="40" t="str">
        <x:v>XT-008</x:v>
      </x:c>
      <x:c r="B143" s="41" t="str">
        <x:v>启用</x:v>
      </x:c>
      <x:c r="C143" s="35" t="str">
        <x:v>悬挑式操作平台</x:v>
      </x:c>
      <x:c r="D143" s="35" t="str">
        <x:v>悬挑平台设计、安装与使用</x:v>
      </x:c>
      <x:c r="E143" s="35" t="str">
        <x:v>当平台板上的主梁采用与主体结构预埋件焊接时</x:v>
      </x:c>
      <x:c r="F143" s="35" t="str">
        <x:v>当平台板上的主梁采用与主体结构预埋件焊接时，预埋件、焊缝均应经设计计算，建筑主体结构应同时满足强度要求</x:v>
      </x:c>
      <x:c r="G143" s="35" t="str">
        <x:v>无明确数值；按文本要求判断</x:v>
      </x:c>
      <x:c r="H143" s="41" t="str">
        <x:v>应执行</x:v>
      </x:c>
      <x:c r="I143" s="35" t="str">
        <x:v>火灾；灼伤；高处坠落</x:v>
      </x:c>
      <x:c r="J143" s="41" t="str">
        <x:v>较大</x:v>
      </x:c>
      <x:c r="K143" s="35" t="str">
        <x:v>技术负责人；方案编制人员；项目负责人；安全员</x:v>
      </x:c>
      <x:c r="L143" s="35" t="str">
        <x:v>文件核验</x:v>
      </x:c>
      <x:c r="M143" s="35" t="str">
        <x:v>建筑施工高处作业安全技术规范</x:v>
      </x:c>
      <x:c r="N143" s="35" t="str">
        <x:v>JGJ 80-2016</x:v>
      </x:c>
      <x:c r="O143" s="35" t="str">
        <x:v>行业标准</x:v>
      </x:c>
      <x:c r="P143" s="35" t="str">
        <x:v>现行版本（提交前建议再核验官方状态）</x:v>
      </x:c>
      <x:c r="Q143" s="35" t="str">
        <x:v>6.4.5</x:v>
      </x:c>
      <x:c r="R143" s="35" t="str">
        <x:v>6.4.5采用悬臂梁式的操作平台，应采用型钢制作悬挑梁或悬挑桁架，不得使用钢管，其节点应采用螺栓或焊接的刚性节点。当平台板上的主梁采用与主体结构预埋件焊接时，预埋件、焊缝均应经设计计算，建筑主体结构应同时满足强度要求</x:v>
      </x:c>
      <x:c r="S143" s="41" t="n">
        <x:v>21</x:v>
      </x:c>
      <x:c r="T143" s="44" t="n">
        <x:v>15</x:v>
      </x:c>
    </x:row>
    <x:row r="144" ht="56" customHeight="1">
      <x:c r="A144" s="40" t="str">
        <x:v>XT-009</x:v>
      </x:c>
      <x:c r="B144" s="41" t="str">
        <x:v>启用</x:v>
      </x:c>
      <x:c r="C144" s="35" t="str">
        <x:v>悬挑式操作平台</x:v>
      </x:c>
      <x:c r="D144" s="35" t="str">
        <x:v>悬挑平台设计、安装与使用</x:v>
      </x:c>
      <x:c r="E144" s="35" t="str">
        <x:v>设计、安装、吊运或使用悬挑式操作平台时</x:v>
      </x:c>
      <x:c r="F144" s="35" t="str">
        <x:v>悬挑式操作平台应设置4个吊环，吊运时应使用卡环，不得使吊钩直接钩挂吊环</x:v>
      </x:c>
      <x:c r="G144" s="35" t="str">
        <x:v>无明确数值；按文本要求判断</x:v>
      </x:c>
      <x:c r="H144" s="41" t="str">
        <x:v>禁止/不得</x:v>
      </x:c>
      <x:c r="I144" s="35" t="str">
        <x:v>高处坠落；物体打击</x:v>
      </x:c>
      <x:c r="J144" s="41" t="str">
        <x:v>重大</x:v>
      </x:c>
      <x:c r="K144" s="35" t="str">
        <x:v>高处作业人员；安全员；施工员；班组长</x:v>
      </x:c>
      <x:c r="L144" s="35" t="str">
        <x:v>现场目视+尺寸/仪器测量</x:v>
      </x:c>
      <x:c r="M144" s="35" t="str">
        <x:v>建筑施工高处作业安全技术规范</x:v>
      </x:c>
      <x:c r="N144" s="35" t="str">
        <x:v>JGJ 80-2016</x:v>
      </x:c>
      <x:c r="O144" s="35" t="str">
        <x:v>行业标准</x:v>
      </x:c>
      <x:c r="P144" s="35" t="str">
        <x:v>现行版本（提交前建议再核验官方状态）</x:v>
      </x:c>
      <x:c r="Q144" s="35" t="str">
        <x:v>6.4.6</x:v>
      </x:c>
      <x:c r="R144" s="35" t="str">
        <x:v>6.4.6悬挑式操作平台应设置4个吊环，吊运时应使用卡环，不得使吊钩直接钩挂吊环。吊环应按通用吊环或起重吊环设计，并应满足强度要求</x:v>
      </x:c>
      <x:c r="S144" s="41" t="n">
        <x:v>21</x:v>
      </x:c>
      <x:c r="T144" s="44" t="n">
        <x:v>15</x:v>
      </x:c>
    </x:row>
    <x:row r="145" ht="56" customHeight="1">
      <x:c r="A145" s="40" t="str">
        <x:v>XT-010</x:v>
      </x:c>
      <x:c r="B145" s="41" t="str">
        <x:v>启用</x:v>
      </x:c>
      <x:c r="C145" s="35" t="str">
        <x:v>悬挑式操作平台</x:v>
      </x:c>
      <x:c r="D145" s="35" t="str">
        <x:v>悬挑平台设计、安装与使用</x:v>
      </x:c>
      <x:c r="E145" s="35" t="str">
        <x:v>设计、安装、吊运或使用悬挑式操作平台时</x:v>
      </x:c>
      <x:c r="F145" s="35" t="str">
        <x:v>吊环应按通用吊环或起重吊环设计，并应满足强度要求</x:v>
      </x:c>
      <x:c r="G145" s="35" t="str">
        <x:v>无明确数值；按文本要求判断</x:v>
      </x:c>
      <x:c r="H145" s="41" t="str">
        <x:v>应执行</x:v>
      </x:c>
      <x:c r="I145" s="35" t="str">
        <x:v>高处坠落；物体打击</x:v>
      </x:c>
      <x:c r="J145" s="41" t="str">
        <x:v>较大</x:v>
      </x:c>
      <x:c r="K145" s="35" t="str">
        <x:v>技术负责人；方案编制人员；项目负责人；安全员</x:v>
      </x:c>
      <x:c r="L145" s="35" t="str">
        <x:v>现场检查+人工确认</x:v>
      </x:c>
      <x:c r="M145" s="35" t="str">
        <x:v>建筑施工高处作业安全技术规范</x:v>
      </x:c>
      <x:c r="N145" s="35" t="str">
        <x:v>JGJ 80-2016</x:v>
      </x:c>
      <x:c r="O145" s="35" t="str">
        <x:v>行业标准</x:v>
      </x:c>
      <x:c r="P145" s="35" t="str">
        <x:v>现行版本（提交前建议再核验官方状态）</x:v>
      </x:c>
      <x:c r="Q145" s="35" t="str">
        <x:v>6.4.6</x:v>
      </x:c>
      <x:c r="R145" s="35" t="str">
        <x:v>6.4.6悬挑式操作平台应设置4个吊环，吊运时应使用卡环，不得使吊钩直接钩挂吊环。吊环应按通用吊环或起重吊环设计，并应满足强度要求</x:v>
      </x:c>
      <x:c r="S145" s="41" t="n">
        <x:v>21</x:v>
      </x:c>
      <x:c r="T145" s="44" t="n">
        <x:v>15</x:v>
      </x:c>
    </x:row>
    <x:row r="146" ht="56" customHeight="1">
      <x:c r="A146" s="40" t="str">
        <x:v>XT-011</x:v>
      </x:c>
      <x:c r="B146" s="41" t="str">
        <x:v>启用</x:v>
      </x:c>
      <x:c r="C146" s="35" t="str">
        <x:v>悬挑式操作平台</x:v>
      </x:c>
      <x:c r="D146" s="35" t="str">
        <x:v>悬挑平台设计、安装与使用</x:v>
      </x:c>
      <x:c r="E146" s="35" t="str">
        <x:v>设计、安装、吊运或使用悬挑式操作平台时</x:v>
      </x:c>
      <x:c r="F146" s="35" t="str">
        <x:v>悬挑式操作平台安装时，钢丝绳应采用专用的钢丝绳夹连接，钢丝绳夹数量应与钢丝绳直径相匹配，且不得少于4个</x:v>
      </x:c>
      <x:c r="G146" s="35" t="str">
        <x:v>无明确数值；按文本要求判断</x:v>
      </x:c>
      <x:c r="H146" s="41" t="str">
        <x:v>禁止/不得</x:v>
      </x:c>
      <x:c r="I146" s="35" t="str">
        <x:v>高处坠落；物体打击</x:v>
      </x:c>
      <x:c r="J146" s="41" t="str">
        <x:v>重大</x:v>
      </x:c>
      <x:c r="K146" s="35" t="str">
        <x:v>高处作业人员；安全员；施工员；班组长</x:v>
      </x:c>
      <x:c r="L146" s="35" t="str">
        <x:v>现场目视+尺寸/仪器测量</x:v>
      </x:c>
      <x:c r="M146" s="35" t="str">
        <x:v>建筑施工高处作业安全技术规范</x:v>
      </x:c>
      <x:c r="N146" s="35" t="str">
        <x:v>JGJ 80-2016</x:v>
      </x:c>
      <x:c r="O146" s="35" t="str">
        <x:v>行业标准</x:v>
      </x:c>
      <x:c r="P146" s="35" t="str">
        <x:v>现行版本（提交前建议再核验官方状态）</x:v>
      </x:c>
      <x:c r="Q146" s="35" t="str">
        <x:v>6.4.7</x:v>
      </x:c>
      <x:c r="R146" s="35" t="str">
        <x:v>6.4.7悬挑式操作平台安装时，钢丝绳应采用专用的钢丝绳夹连接，钢丝绳夹数量应与钢丝绳直径相匹配，且不得少于4个。建筑物锐角、利口周围系钢丝绳处应加衬软垫物</x:v>
      </x:c>
      <x:c r="S146" s="41" t="n">
        <x:v>21</x:v>
      </x:c>
      <x:c r="T146" s="44" t="n">
        <x:v>15</x:v>
      </x:c>
    </x:row>
    <x:row r="147" ht="56" customHeight="1">
      <x:c r="A147" s="40" t="str">
        <x:v>XT-012</x:v>
      </x:c>
      <x:c r="B147" s="41" t="str">
        <x:v>启用</x:v>
      </x:c>
      <x:c r="C147" s="35" t="str">
        <x:v>悬挑式操作平台</x:v>
      </x:c>
      <x:c r="D147" s="35" t="str">
        <x:v>悬挑平台设计、安装与使用</x:v>
      </x:c>
      <x:c r="E147" s="35" t="str">
        <x:v>设计、安装、吊运或使用悬挑式操作平台时</x:v>
      </x:c>
      <x:c r="F147" s="35" t="str">
        <x:v>建筑物锐角、利口周围系钢丝绳处应加衬软垫物</x:v>
      </x:c>
      <x:c r="G147" s="35" t="str">
        <x:v>无明确数值；按文本要求判断</x:v>
      </x:c>
      <x:c r="H147" s="41" t="str">
        <x:v>应执行</x:v>
      </x:c>
      <x:c r="I147" s="35" t="str">
        <x:v>高处坠落；物体打击</x:v>
      </x:c>
      <x:c r="J147" s="41" t="str">
        <x:v>较大</x:v>
      </x:c>
      <x:c r="K147" s="35" t="str">
        <x:v>高处作业人员；安全员；施工员；班组长</x:v>
      </x:c>
      <x:c r="L147" s="35" t="str">
        <x:v>现场检查+人工确认</x:v>
      </x:c>
      <x:c r="M147" s="35" t="str">
        <x:v>建筑施工高处作业安全技术规范</x:v>
      </x:c>
      <x:c r="N147" s="35" t="str">
        <x:v>JGJ 80-2016</x:v>
      </x:c>
      <x:c r="O147" s="35" t="str">
        <x:v>行业标准</x:v>
      </x:c>
      <x:c r="P147" s="35" t="str">
        <x:v>现行版本（提交前建议再核验官方状态）</x:v>
      </x:c>
      <x:c r="Q147" s="35" t="str">
        <x:v>6.4.7</x:v>
      </x:c>
      <x:c r="R147" s="35" t="str">
        <x:v>6.4.7悬挑式操作平台安装时，钢丝绳应采用专用的钢丝绳夹连接，钢丝绳夹数量应与钢丝绳直径相匹配，且不得少于4个。建筑物锐角、利口周围系钢丝绳处应加衬软垫物</x:v>
      </x:c>
      <x:c r="S147" s="41" t="n">
        <x:v>21</x:v>
      </x:c>
      <x:c r="T147" s="44" t="n">
        <x:v>15</x:v>
      </x:c>
    </x:row>
    <x:row r="148" ht="56" customHeight="1">
      <x:c r="A148" s="40" t="str">
        <x:v>XT-013</x:v>
      </x:c>
      <x:c r="B148" s="41" t="str">
        <x:v>启用</x:v>
      </x:c>
      <x:c r="C148" s="35" t="str">
        <x:v>悬挑式操作平台</x:v>
      </x:c>
      <x:c r="D148" s="35" t="str">
        <x:v>悬挑平台设计、安装与使用</x:v>
      </x:c>
      <x:c r="E148" s="35" t="str">
        <x:v>设计、安装、吊运或使用悬挑式操作平台时</x:v>
      </x:c>
      <x:c r="F148" s="35" t="str">
        <x:v>悬挑式操作平台的外侧应略高于内侧</x:v>
      </x:c>
      <x:c r="G148" s="35" t="str">
        <x:v>无明确数值；按文本要求判断</x:v>
      </x:c>
      <x:c r="H148" s="41" t="str">
        <x:v>应执行</x:v>
      </x:c>
      <x:c r="I148" s="35" t="str">
        <x:v>高处坠落；物体打击</x:v>
      </x:c>
      <x:c r="J148" s="41" t="str">
        <x:v>较大</x:v>
      </x:c>
      <x:c r="K148" s="35" t="str">
        <x:v>高处作业人员；安全员；施工员；班组长</x:v>
      </x:c>
      <x:c r="L148" s="35" t="str">
        <x:v>现场检查+人工确认</x:v>
      </x:c>
      <x:c r="M148" s="35" t="str">
        <x:v>建筑施工高处作业安全技术规范</x:v>
      </x:c>
      <x:c r="N148" s="35" t="str">
        <x:v>JGJ 80-2016</x:v>
      </x:c>
      <x:c r="O148" s="35" t="str">
        <x:v>行业标准</x:v>
      </x:c>
      <x:c r="P148" s="35" t="str">
        <x:v>现行版本（提交前建议再核验官方状态）</x:v>
      </x:c>
      <x:c r="Q148" s="35" t="str">
        <x:v>6.4.8</x:v>
      </x:c>
      <x:c r="R148" s="35" t="str">
        <x:v>6.4.8悬挑式操作平台的外侧应略高于内侧；外侧应安装防护栏杆并应设置防护挡板全封闭</x:v>
      </x:c>
      <x:c r="S148" s="41" t="n">
        <x:v>22</x:v>
      </x:c>
      <x:c r="T148" s="44" t="n">
        <x:v>16</x:v>
      </x:c>
    </x:row>
    <x:row r="149" ht="56" customHeight="1">
      <x:c r="A149" s="40" t="str">
        <x:v>XT-014</x:v>
      </x:c>
      <x:c r="B149" s="41" t="str">
        <x:v>启用</x:v>
      </x:c>
      <x:c r="C149" s="35" t="str">
        <x:v>悬挑式操作平台</x:v>
      </x:c>
      <x:c r="D149" s="35" t="str">
        <x:v>悬挑平台设计、安装与使用</x:v>
      </x:c>
      <x:c r="E149" s="35" t="str">
        <x:v>设计、安装、吊运或使用悬挑式操作平台时</x:v>
      </x:c>
      <x:c r="F149" s="35" t="str">
        <x:v>外侧应安装防护栏杆并应设置防护挡板全封闭</x:v>
      </x:c>
      <x:c r="G149" s="35" t="str">
        <x:v>无明确数值；按文本要求判断</x:v>
      </x:c>
      <x:c r="H149" s="41" t="str">
        <x:v>应执行</x:v>
      </x:c>
      <x:c r="I149" s="35" t="str">
        <x:v>高处坠落；物体打击</x:v>
      </x:c>
      <x:c r="J149" s="41" t="str">
        <x:v>较大</x:v>
      </x:c>
      <x:c r="K149" s="35" t="str">
        <x:v>高处作业人员；安全员；施工员；班组长</x:v>
      </x:c>
      <x:c r="L149" s="35" t="str">
        <x:v>现场目视或影像检查</x:v>
      </x:c>
      <x:c r="M149" s="35" t="str">
        <x:v>建筑施工高处作业安全技术规范</x:v>
      </x:c>
      <x:c r="N149" s="35" t="str">
        <x:v>JGJ 80-2016</x:v>
      </x:c>
      <x:c r="O149" s="35" t="str">
        <x:v>行业标准</x:v>
      </x:c>
      <x:c r="P149" s="35" t="str">
        <x:v>现行版本（提交前建议再核验官方状态）</x:v>
      </x:c>
      <x:c r="Q149" s="35" t="str">
        <x:v>6.4.8</x:v>
      </x:c>
      <x:c r="R149" s="35" t="str">
        <x:v>6.4.8悬挑式操作平台的外侧应略高于内侧；外侧应安装防护栏杆并应设置防护挡板全封闭</x:v>
      </x:c>
      <x:c r="S149" s="41" t="n">
        <x:v>22</x:v>
      </x:c>
      <x:c r="T149" s="44" t="n">
        <x:v>16</x:v>
      </x:c>
    </x:row>
    <x:row r="150" ht="56" customHeight="1">
      <x:c r="A150" s="40" t="str">
        <x:v>XT-015</x:v>
      </x:c>
      <x:c r="B150" s="41" t="str">
        <x:v>启用</x:v>
      </x:c>
      <x:c r="C150" s="35" t="str">
        <x:v>悬挑式操作平台</x:v>
      </x:c>
      <x:c r="D150" s="35" t="str">
        <x:v>悬挑平台设计、安装与使用</x:v>
      </x:c>
      <x:c r="E150" s="35" t="str">
        <x:v>设计、安装、吊运或使用悬挑式操作平台时</x:v>
      </x:c>
      <x:c r="F150" s="35" t="str">
        <x:v>人员不得在悬挑式操作平台吊运、安装时上下</x:v>
      </x:c>
      <x:c r="G150" s="35" t="str">
        <x:v>无明确数值；按文本要求判断</x:v>
      </x:c>
      <x:c r="H150" s="41" t="str">
        <x:v>禁止/不得</x:v>
      </x:c>
      <x:c r="I150" s="35" t="str">
        <x:v>高处坠落；物体打击</x:v>
      </x:c>
      <x:c r="J150" s="41" t="str">
        <x:v>重大</x:v>
      </x:c>
      <x:c r="K150" s="35" t="str">
        <x:v>高处作业人员；安全员；施工员；班组长</x:v>
      </x:c>
      <x:c r="L150" s="35" t="str">
        <x:v>现场检查+人工确认</x:v>
      </x:c>
      <x:c r="M150" s="35" t="str">
        <x:v>建筑施工高处作业安全技术规范</x:v>
      </x:c>
      <x:c r="N150" s="35" t="str">
        <x:v>JGJ 80-2016</x:v>
      </x:c>
      <x:c r="O150" s="35" t="str">
        <x:v>行业标准</x:v>
      </x:c>
      <x:c r="P150" s="35" t="str">
        <x:v>现行版本（提交前建议再核验官方状态）</x:v>
      </x:c>
      <x:c r="Q150" s="35" t="str">
        <x:v>6.4.9</x:v>
      </x:c>
      <x:c r="R150" s="35" t="str">
        <x:v>6.4.9人员不得在悬挑式操作平台吊运、安装时上下</x:v>
      </x:c>
      <x:c r="S150" s="41" t="n">
        <x:v>22</x:v>
      </x:c>
      <x:c r="T150" s="44" t="n">
        <x:v>16</x:v>
      </x:c>
    </x:row>
    <x:row r="151" ht="56" customHeight="1">
      <x:c r="A151" s="40" t="str">
        <x:v>XT-016</x:v>
      </x:c>
      <x:c r="B151" s="41" t="str">
        <x:v>启用</x:v>
      </x:c>
      <x:c r="C151" s="35" t="str">
        <x:v>悬挑式操作平台</x:v>
      </x:c>
      <x:c r="D151" s="35" t="str">
        <x:v>悬挑平台设计、安装与使用</x:v>
      </x:c>
      <x:c r="E151" s="35" t="str">
        <x:v>设计、安装、吊运或使用悬挑式操作平台时</x:v>
      </x:c>
      <x:c r="F151" s="35" t="str">
        <x:v>悬挑式操作平台的结构设计计算应符合本规范附录C的规定</x:v>
      </x:c>
      <x:c r="G151" s="35" t="str">
        <x:v>无明确数值；按文本要求判断</x:v>
      </x:c>
      <x:c r="H151" s="41" t="str">
        <x:v>应执行</x:v>
      </x:c>
      <x:c r="I151" s="35" t="str">
        <x:v>高处坠落；物体打击</x:v>
      </x:c>
      <x:c r="J151" s="41" t="str">
        <x:v>较大</x:v>
      </x:c>
      <x:c r="K151" s="35" t="str">
        <x:v>技术负责人；方案编制人员；项目负责人；安全员</x:v>
      </x:c>
      <x:c r="L151" s="35" t="str">
        <x:v>文件核验</x:v>
      </x:c>
      <x:c r="M151" s="35" t="str">
        <x:v>建筑施工高处作业安全技术规范</x:v>
      </x:c>
      <x:c r="N151" s="35" t="str">
        <x:v>JGJ 80-2016</x:v>
      </x:c>
      <x:c r="O151" s="35" t="str">
        <x:v>行业标准</x:v>
      </x:c>
      <x:c r="P151" s="35" t="str">
        <x:v>现行版本（提交前建议再核验官方状态）</x:v>
      </x:c>
      <x:c r="Q151" s="35" t="str">
        <x:v>6.4.10</x:v>
      </x:c>
      <x:c r="R151" s="35" t="str">
        <x:v>6.4.10悬挑式操作平台的结构设计计算应符合本规范附录C的规定</x:v>
      </x:c>
      <x:c r="S151" s="41" t="n">
        <x:v>22</x:v>
      </x:c>
      <x:c r="T151" s="44" t="n">
        <x:v>16</x:v>
      </x:c>
    </x:row>
    <x:row r="152" ht="56" customHeight="1">
      <x:c r="A152" s="40" t="str">
        <x:v>JC-001</x:v>
      </x:c>
      <x:c r="B152" s="41" t="str">
        <x:v>启用</x:v>
      </x:c>
      <x:c r="C152" s="35" t="str">
        <x:v>交叉作业</x:v>
      </x:c>
      <x:c r="D152" s="35" t="str">
        <x:v>隔离、防护棚与警戒</x:v>
      </x:c>
      <x:c r="E152" s="35" t="str">
        <x:v>上下不同层面同时或交叉作业时</x:v>
      </x:c>
      <x:c r="F152" s="35" t="str">
        <x:v>安全防护棚和警戒隔离区范围的设置应视上层作业高度确定，并应大于坠落半径</x:v>
      </x:c>
      <x:c r="G152" s="35" t="str">
        <x:v>无明确数值；按文本要求判断</x:v>
      </x:c>
      <x:c r="H152" s="41" t="str">
        <x:v>应执行</x:v>
      </x:c>
      <x:c r="I152" s="35" t="str">
        <x:v>物体打击；高处坠落</x:v>
      </x:c>
      <x:c r="J152" s="41" t="str">
        <x:v>较大</x:v>
      </x:c>
      <x:c r="K152" s="35" t="str">
        <x:v>高处作业人员；安全员；施工员；班组长</x:v>
      </x:c>
      <x:c r="L152" s="35" t="str">
        <x:v>现场目视或影像检查</x:v>
      </x:c>
      <x:c r="M152" s="35" t="str">
        <x:v>建筑施工高处作业安全技术规范</x:v>
      </x:c>
      <x:c r="N152" s="35" t="str">
        <x:v>JGJ 80-2016</x:v>
      </x:c>
      <x:c r="O152" s="35" t="str">
        <x:v>行业标准</x:v>
      </x:c>
      <x:c r="P152" s="35" t="str">
        <x:v>现行版本（提交前建议再核验官方状态）</x:v>
      </x:c>
      <x:c r="Q152" s="35" t="str">
        <x:v>7.1.1</x:v>
      </x:c>
      <x:c r="R152" s="35" t="str">
        <x:v>7.1.1交叉作业时，下层作业位置应处于上层作业的坠落半径之外，高空作业坠落半径应按表7.1.1确定。安全防护棚和警戒隔离区范围的设置应视上层作业高度确定，并应大于坠落半径。表7.1.1坠落半径序号上层作业高度（h)坠落半径(m)1hb≤523&lt;h≤15315&lt;h≤304hb&gt;30</x:v>
      </x:c>
      <x:c r="S152" s="41" t="n">
        <x:v>23</x:v>
      </x:c>
      <x:c r="T152" s="44" t="n">
        <x:v>17</x:v>
      </x:c>
    </x:row>
    <x:row r="153" ht="56" customHeight="1">
      <x:c r="A153" s="40" t="str">
        <x:v>JC-002</x:v>
      </x:c>
      <x:c r="B153" s="41" t="str">
        <x:v>启用</x:v>
      </x:c>
      <x:c r="C153" s="35" t="str">
        <x:v>交叉作业</x:v>
      </x:c>
      <x:c r="D153" s="35" t="str">
        <x:v>隔离、防护棚与警戒</x:v>
      </x:c>
      <x:c r="E153" s="35" t="str">
        <x:v>上下不同层面同时或交叉作业时</x:v>
      </x:c>
      <x:c r="F153" s="35" t="str">
        <x:v>交叉作业时，坠落半径内应设置安全防护棚或安全防护网等安全隔离措施</x:v>
      </x:c>
      <x:c r="G153" s="35" t="str">
        <x:v>无明确数值；按文本要求判断</x:v>
      </x:c>
      <x:c r="H153" s="41" t="str">
        <x:v>应执行</x:v>
      </x:c>
      <x:c r="I153" s="35" t="str">
        <x:v>物体打击；高处坠落</x:v>
      </x:c>
      <x:c r="J153" s="41" t="str">
        <x:v>较大</x:v>
      </x:c>
      <x:c r="K153" s="35" t="str">
        <x:v>高处作业人员；安全员；施工员；班组长</x:v>
      </x:c>
      <x:c r="L153" s="35" t="str">
        <x:v>现场目视或影像检查</x:v>
      </x:c>
      <x:c r="M153" s="35" t="str">
        <x:v>建筑施工高处作业安全技术规范</x:v>
      </x:c>
      <x:c r="N153" s="35" t="str">
        <x:v>JGJ 80-2016</x:v>
      </x:c>
      <x:c r="O153" s="35" t="str">
        <x:v>行业标准</x:v>
      </x:c>
      <x:c r="P153" s="35" t="str">
        <x:v>现行版本（提交前建议再核验官方状态）</x:v>
      </x:c>
      <x:c r="Q153" s="35" t="str">
        <x:v>7.1.2</x:v>
      </x:c>
      <x:c r="R153" s="35" t="str">
        <x:v>7.1.2交叉作业时，坠落半径内应设置安全防护棚或安全防护网等安全隔离措施。当尚未设置安全隔离措施时，应设置警戒隔离区，人员严禁进入隔离区</x:v>
      </x:c>
      <x:c r="S153" s="41" t="n">
        <x:v>23</x:v>
      </x:c>
      <x:c r="T153" s="44" t="n">
        <x:v>17</x:v>
      </x:c>
    </x:row>
    <x:row r="154" ht="56" customHeight="1">
      <x:c r="A154" s="40" t="str">
        <x:v>JC-003</x:v>
      </x:c>
      <x:c r="B154" s="41" t="str">
        <x:v>启用</x:v>
      </x:c>
      <x:c r="C154" s="35" t="str">
        <x:v>交叉作业</x:v>
      </x:c>
      <x:c r="D154" s="35" t="str">
        <x:v>隔离、防护棚与警戒</x:v>
      </x:c>
      <x:c r="E154" s="35" t="str">
        <x:v>当尚未设置安全隔离措施时</x:v>
      </x:c>
      <x:c r="F154" s="35" t="str">
        <x:v>当尚未设置安全隔离措施时，应设置警戒隔离区，人员严禁进入隔离区</x:v>
      </x:c>
      <x:c r="G154" s="35" t="str">
        <x:v>无明确数值；按文本要求判断</x:v>
      </x:c>
      <x:c r="H154" s="41" t="str">
        <x:v>禁止/不得</x:v>
      </x:c>
      <x:c r="I154" s="35" t="str">
        <x:v>物体打击；高处坠落</x:v>
      </x:c>
      <x:c r="J154" s="41" t="str">
        <x:v>重大</x:v>
      </x:c>
      <x:c r="K154" s="35" t="str">
        <x:v>高处作业人员；安全员；施工员；班组长</x:v>
      </x:c>
      <x:c r="L154" s="35" t="str">
        <x:v>现场目视或影像检查</x:v>
      </x:c>
      <x:c r="M154" s="35" t="str">
        <x:v>建筑施工高处作业安全技术规范</x:v>
      </x:c>
      <x:c r="N154" s="35" t="str">
        <x:v>JGJ 80-2016</x:v>
      </x:c>
      <x:c r="O154" s="35" t="str">
        <x:v>行业标准</x:v>
      </x:c>
      <x:c r="P154" s="35" t="str">
        <x:v>现行版本（提交前建议再核验官方状态）</x:v>
      </x:c>
      <x:c r="Q154" s="35" t="str">
        <x:v>7.1.2</x:v>
      </x:c>
      <x:c r="R154" s="35" t="str">
        <x:v>7.1.2交叉作业时，坠落半径内应设置安全防护棚或安全防护网等安全隔离措施。当尚未设置安全隔离措施时，应设置警戒隔离区，人员严禁进入隔离区</x:v>
      </x:c>
      <x:c r="S154" s="41" t="n">
        <x:v>23</x:v>
      </x:c>
      <x:c r="T154" s="44" t="n">
        <x:v>17</x:v>
      </x:c>
    </x:row>
    <x:row r="155" ht="56" customHeight="1">
      <x:c r="A155" s="40" t="str">
        <x:v>JC-004</x:v>
      </x:c>
      <x:c r="B155" s="41" t="str">
        <x:v>启用</x:v>
      </x:c>
      <x:c r="C155" s="35" t="str">
        <x:v>交叉作业</x:v>
      </x:c>
      <x:c r="D155" s="35" t="str">
        <x:v>隔离、防护棚与警戒</x:v>
      </x:c>
      <x:c r="E155" s="35" t="str">
        <x:v>上下不同层面同时或交叉作业时</x:v>
      </x:c>
      <x:c r="F155" s="35" t="str">
        <x:v>处于起重机臂架回转范围内的通道，应搭设安全防护棚</x:v>
      </x:c>
      <x:c r="G155" s="35" t="str">
        <x:v>无明确数值；按文本要求判断</x:v>
      </x:c>
      <x:c r="H155" s="41" t="str">
        <x:v>应执行</x:v>
      </x:c>
      <x:c r="I155" s="35" t="str">
        <x:v>物体打击；高处坠落</x:v>
      </x:c>
      <x:c r="J155" s="41" t="str">
        <x:v>较大</x:v>
      </x:c>
      <x:c r="K155" s="35" t="str">
        <x:v>高处作业人员；安全员；施工员；班组长</x:v>
      </x:c>
      <x:c r="L155" s="35" t="str">
        <x:v>现场检查+人工确认</x:v>
      </x:c>
      <x:c r="M155" s="35" t="str">
        <x:v>建筑施工高处作业安全技术规范</x:v>
      </x:c>
      <x:c r="N155" s="35" t="str">
        <x:v>JGJ 80-2016</x:v>
      </x:c>
      <x:c r="O155" s="35" t="str">
        <x:v>行业标准</x:v>
      </x:c>
      <x:c r="P155" s="35" t="str">
        <x:v>现行版本（提交前建议再核验官方状态）</x:v>
      </x:c>
      <x:c r="Q155" s="35" t="str">
        <x:v>7.1.3</x:v>
      </x:c>
      <x:c r="R155" s="35" t="str">
        <x:v>7.1.3处于起重机臂架回转范围内的通道，应搭设安全防护棚</x:v>
      </x:c>
      <x:c r="S155" s="41" t="n">
        <x:v>23</x:v>
      </x:c>
      <x:c r="T155" s="44" t="n">
        <x:v>17</x:v>
      </x:c>
    </x:row>
    <x:row r="156" ht="56" customHeight="1">
      <x:c r="A156" s="40" t="str">
        <x:v>JC-005</x:v>
      </x:c>
      <x:c r="B156" s="41" t="str">
        <x:v>启用</x:v>
      </x:c>
      <x:c r="C156" s="35" t="str">
        <x:v>交叉作业</x:v>
      </x:c>
      <x:c r="D156" s="35" t="str">
        <x:v>隔离、防护棚与警戒</x:v>
      </x:c>
      <x:c r="E156" s="35" t="str">
        <x:v>上下不同层面同时或交叉作业时</x:v>
      </x:c>
      <x:c r="F156" s="35" t="str">
        <x:v>施工现场人员进出的通道口，应搭设安全防护棚</x:v>
      </x:c>
      <x:c r="G156" s="35" t="str">
        <x:v>无明确数值；按文本要求判断</x:v>
      </x:c>
      <x:c r="H156" s="41" t="str">
        <x:v>应执行</x:v>
      </x:c>
      <x:c r="I156" s="35" t="str">
        <x:v>物体打击；高处坠落</x:v>
      </x:c>
      <x:c r="J156" s="41" t="str">
        <x:v>较大</x:v>
      </x:c>
      <x:c r="K156" s="35" t="str">
        <x:v>高处作业人员；安全员；施工员；班组长</x:v>
      </x:c>
      <x:c r="L156" s="35" t="str">
        <x:v>现场检查+人工确认</x:v>
      </x:c>
      <x:c r="M156" s="35" t="str">
        <x:v>建筑施工高处作业安全技术规范</x:v>
      </x:c>
      <x:c r="N156" s="35" t="str">
        <x:v>JGJ 80-2016</x:v>
      </x:c>
      <x:c r="O156" s="35" t="str">
        <x:v>行业标准</x:v>
      </x:c>
      <x:c r="P156" s="35" t="str">
        <x:v>现行版本（提交前建议再核验官方状态）</x:v>
      </x:c>
      <x:c r="Q156" s="35" t="str">
        <x:v>7.1.4</x:v>
      </x:c>
      <x:c r="R156" s="35" t="str">
        <x:v>7.1.4施工现场人员进出的通道口，应搭设安全防护棚</x:v>
      </x:c>
      <x:c r="S156" s="41" t="n">
        <x:v>23</x:v>
      </x:c>
      <x:c r="T156" s="44" t="n">
        <x:v>17</x:v>
      </x:c>
    </x:row>
    <x:row r="157" ht="56" customHeight="1">
      <x:c r="A157" s="40" t="str">
        <x:v>JC-006</x:v>
      </x:c>
      <x:c r="B157" s="41" t="str">
        <x:v>启用</x:v>
      </x:c>
      <x:c r="C157" s="35" t="str">
        <x:v>交叉作业</x:v>
      </x:c>
      <x:c r="D157" s="35" t="str">
        <x:v>隔离、防护棚与警戒</x:v>
      </x:c>
      <x:c r="E157" s="35" t="str">
        <x:v>上下不同层面同时或交叉作业时</x:v>
      </x:c>
      <x:c r="F157" s="35" t="str">
        <x:v>不得在安全防护棚棚顶堆放物料</x:v>
      </x:c>
      <x:c r="G157" s="35" t="str">
        <x:v>无明确数值；按文本要求判断</x:v>
      </x:c>
      <x:c r="H157" s="41" t="str">
        <x:v>禁止/不得</x:v>
      </x:c>
      <x:c r="I157" s="35" t="str">
        <x:v>物体打击；高处坠落</x:v>
      </x:c>
      <x:c r="J157" s="41" t="str">
        <x:v>重大</x:v>
      </x:c>
      <x:c r="K157" s="35" t="str">
        <x:v>高处作业人员；安全员；施工员；班组长</x:v>
      </x:c>
      <x:c r="L157" s="35" t="str">
        <x:v>现场目视或影像检查</x:v>
      </x:c>
      <x:c r="M157" s="35" t="str">
        <x:v>建筑施工高处作业安全技术规范</x:v>
      </x:c>
      <x:c r="N157" s="35" t="str">
        <x:v>JGJ 80-2016</x:v>
      </x:c>
      <x:c r="O157" s="35" t="str">
        <x:v>行业标准</x:v>
      </x:c>
      <x:c r="P157" s="35" t="str">
        <x:v>现行版本（提交前建议再核验官方状态）</x:v>
      </x:c>
      <x:c r="Q157" s="35" t="str">
        <x:v>7.1.5</x:v>
      </x:c>
      <x:c r="R157" s="35" t="str">
        <x:v>7.1.5不得在安全防护棚棚顶堆放物料</x:v>
      </x:c>
      <x:c r="S157" s="41" t="n">
        <x:v>23</x:v>
      </x:c>
      <x:c r="T157" s="44" t="n">
        <x:v>17</x:v>
      </x:c>
    </x:row>
    <x:row r="158" ht="56" customHeight="1">
      <x:c r="A158" s="40" t="str">
        <x:v>JC-007</x:v>
      </x:c>
      <x:c r="B158" s="41" t="str">
        <x:v>启用</x:v>
      </x:c>
      <x:c r="C158" s="35" t="str">
        <x:v>交叉作业</x:v>
      </x:c>
      <x:c r="D158" s="35" t="str">
        <x:v>隔离、防护棚与警戒</x:v>
      </x:c>
      <x:c r="E158" s="35" t="str">
        <x:v>当采用脚手架搭设安全防护棚架构时</x:v>
      </x:c>
      <x:c r="F158" s="35" t="str">
        <x:v>当采用脚手架搭设安全防护棚架构时，应符合国家现行相关脚手架标准的规定</x:v>
      </x:c>
      <x:c r="G158" s="35" t="str">
        <x:v>无明确数值；按文本要求判断</x:v>
      </x:c>
      <x:c r="H158" s="41" t="str">
        <x:v>应执行</x:v>
      </x:c>
      <x:c r="I158" s="35" t="str">
        <x:v>物体打击；高处坠落</x:v>
      </x:c>
      <x:c r="J158" s="41" t="str">
        <x:v>较大</x:v>
      </x:c>
      <x:c r="K158" s="35" t="str">
        <x:v>高处作业人员；安全员；施工员；班组长</x:v>
      </x:c>
      <x:c r="L158" s="35" t="str">
        <x:v>现场检查+人工确认</x:v>
      </x:c>
      <x:c r="M158" s="35" t="str">
        <x:v>建筑施工高处作业安全技术规范</x:v>
      </x:c>
      <x:c r="N158" s="35" t="str">
        <x:v>JGJ 80-2016</x:v>
      </x:c>
      <x:c r="O158" s="35" t="str">
        <x:v>行业标准</x:v>
      </x:c>
      <x:c r="P158" s="35" t="str">
        <x:v>现行版本（提交前建议再核验官方状态）</x:v>
      </x:c>
      <x:c r="Q158" s="35" t="str">
        <x:v>7.1.6</x:v>
      </x:c>
      <x:c r="R158" s="35" t="str">
        <x:v>7.1.6当采用脚手架搭设安全防护棚架构时，应符合国家现行相关脚手架标准的规定</x:v>
      </x:c>
      <x:c r="S158" s="41" t="n">
        <x:v>23</x:v>
      </x:c>
      <x:c r="T158" s="44" t="n">
        <x:v>17</x:v>
      </x:c>
    </x:row>
    <x:row r="159" ht="56" customHeight="1">
      <x:c r="A159" s="40" t="str">
        <x:v>JC-008</x:v>
      </x:c>
      <x:c r="B159" s="41" t="str">
        <x:v>启用</x:v>
      </x:c>
      <x:c r="C159" s="35" t="str">
        <x:v>交叉作业</x:v>
      </x:c>
      <x:c r="D159" s="35" t="str">
        <x:v>隔离、防护棚与警戒</x:v>
      </x:c>
      <x:c r="E159" s="35" t="str">
        <x:v>对不搭设脚手架和设置安全防护棚时的交叉作业</x:v>
      </x:c>
      <x:c r="F159" s="35" t="str">
        <x:v>对不搭设脚手架和设置安全防护棚时的交叉作业，应设置安全防护网，当在多层、高层建筑外立面施工时，应在二层及每隔四层设一道固定的安全防护网，同时设一道随施工高度提升的安全防护网</x:v>
      </x:c>
      <x:c r="G159" s="35" t="str">
        <x:v>无明确数值；按文本要求判断</x:v>
      </x:c>
      <x:c r="H159" s="41" t="str">
        <x:v>应执行</x:v>
      </x:c>
      <x:c r="I159" s="35" t="str">
        <x:v>物体打击；高处坠落</x:v>
      </x:c>
      <x:c r="J159" s="41" t="str">
        <x:v>较大</x:v>
      </x:c>
      <x:c r="K159" s="35" t="str">
        <x:v>高处作业人员；安全员；施工员；班组长</x:v>
      </x:c>
      <x:c r="L159" s="35" t="str">
        <x:v>现场目视或影像检查</x:v>
      </x:c>
      <x:c r="M159" s="35" t="str">
        <x:v>建筑施工高处作业安全技术规范</x:v>
      </x:c>
      <x:c r="N159" s="35" t="str">
        <x:v>JGJ 80-2016</x:v>
      </x:c>
      <x:c r="O159" s="35" t="str">
        <x:v>行业标准</x:v>
      </x:c>
      <x:c r="P159" s="35" t="str">
        <x:v>现行版本（提交前建议再核验官方状态）</x:v>
      </x:c>
      <x:c r="Q159" s="35" t="str">
        <x:v>7.1.7</x:v>
      </x:c>
      <x:c r="R159" s="35" t="str">
        <x:v>7.1.7对不搭设脚手架和设置安全防护棚时的交叉作业，应设置安全防护网，当在多层、高层建筑外立面施工时，应在二层及每隔四层设一道固定的安全防护网，同时设一道随施工高度提升的安全防护网。17</x:v>
      </x:c>
      <x:c r="S159" s="41" t="n">
        <x:v>23</x:v>
      </x:c>
      <x:c r="T159" s="44" t="n">
        <x:v>17</x:v>
      </x:c>
    </x:row>
    <x:row r="160" ht="56" customHeight="1">
      <x:c r="A160" s="40" t="str">
        <x:v>JC-009</x:v>
      </x:c>
      <x:c r="B160" s="41" t="str">
        <x:v>启用</x:v>
      </x:c>
      <x:c r="C160" s="35" t="str">
        <x:v>交叉作业</x:v>
      </x:c>
      <x:c r="D160" s="35" t="str">
        <x:v>隔离、防护棚与警戒</x:v>
      </x:c>
      <x:c r="E160" s="35" t="str">
        <x:v>当安全防护棚为非机动车辆通行时</x:v>
      </x:c>
      <x:c r="F160" s="35" t="str">
        <x:v>当安全防护棚为非机动车辆通行时，棚底至地面高度不应小于3m</x:v>
      </x:c>
      <x:c r="G160" s="35" t="str">
        <x:v>3m</x:v>
      </x:c>
      <x:c r="H160" s="41" t="str">
        <x:v>禁止/不得</x:v>
      </x:c>
      <x:c r="I160" s="35" t="str">
        <x:v>物体打击；高处坠落</x:v>
      </x:c>
      <x:c r="J160" s="41" t="str">
        <x:v>重大</x:v>
      </x:c>
      <x:c r="K160" s="35" t="str">
        <x:v>高处作业人员；安全员；施工员；班组长</x:v>
      </x:c>
      <x:c r="L160" s="35" t="str">
        <x:v>现场目视+尺寸/仪器测量</x:v>
      </x:c>
      <x:c r="M160" s="35" t="str">
        <x:v>建筑施工高处作业安全技术规范</x:v>
      </x:c>
      <x:c r="N160" s="35" t="str">
        <x:v>JGJ 80-2016</x:v>
      </x:c>
      <x:c r="O160" s="35" t="str">
        <x:v>行业标准</x:v>
      </x:c>
      <x:c r="P160" s="35" t="str">
        <x:v>现行版本（提交前建议再核验官方状态）</x:v>
      </x:c>
      <x:c r="Q160" s="35" t="str">
        <x:v>7.2.1</x:v>
      </x:c>
      <x:c r="R160" s="35" t="str">
        <x:v>7.2.1安全防护棚搭设应符合下列规定：1当安全防护棚为非机动车辆通行时，棚底至地面高度不应小于3m；当安全防护棚为机动车辆通行时，棚底至地面高度不应小于4m。2当建筑物高度大于24m并采用木质板搭设时，应搭设双层安全防护棚。两层防护的间距不应小于700mm，安全防护棚的高度不应小于4m。3当安全防护棚的顶棚采用竹笆或木质板搭设时，应采用双层搭设，间距不应小于700mm：当采用木质板或与其等强度的其他材料搭设时，可采用单层搭设，木板厚度不应小于50mm。防护棚的长度应根据建筑物高度与可能坠落半径确定</x:v>
      </x:c>
      <x:c r="S160" s="41" t="n">
        <x:v>24</x:v>
      </x:c>
      <x:c r="T160" s="44" t="n">
        <x:v>18</x:v>
      </x:c>
    </x:row>
    <x:row r="161" ht="56" customHeight="1">
      <x:c r="A161" s="40" t="str">
        <x:v>JC-010</x:v>
      </x:c>
      <x:c r="B161" s="41" t="str">
        <x:v>启用</x:v>
      </x:c>
      <x:c r="C161" s="35" t="str">
        <x:v>交叉作业</x:v>
      </x:c>
      <x:c r="D161" s="35" t="str">
        <x:v>隔离、防护棚与警戒</x:v>
      </x:c>
      <x:c r="E161" s="35" t="str">
        <x:v>当安全防护棚为机动车辆通行时</x:v>
      </x:c>
      <x:c r="F161" s="35" t="str">
        <x:v>当安全防护棚为机动车辆通行时，棚底至地面高度不应小于4m</x:v>
      </x:c>
      <x:c r="G161" s="35" t="str">
        <x:v>4m</x:v>
      </x:c>
      <x:c r="H161" s="41" t="str">
        <x:v>禁止/不得</x:v>
      </x:c>
      <x:c r="I161" s="35" t="str">
        <x:v>物体打击；高处坠落</x:v>
      </x:c>
      <x:c r="J161" s="41" t="str">
        <x:v>重大</x:v>
      </x:c>
      <x:c r="K161" s="35" t="str">
        <x:v>高处作业人员；安全员；施工员；班组长</x:v>
      </x:c>
      <x:c r="L161" s="35" t="str">
        <x:v>现场目视+尺寸/仪器测量</x:v>
      </x:c>
      <x:c r="M161" s="35" t="str">
        <x:v>建筑施工高处作业安全技术规范</x:v>
      </x:c>
      <x:c r="N161" s="35" t="str">
        <x:v>JGJ 80-2016</x:v>
      </x:c>
      <x:c r="O161" s="35" t="str">
        <x:v>行业标准</x:v>
      </x:c>
      <x:c r="P161" s="35" t="str">
        <x:v>现行版本（提交前建议再核验官方状态）</x:v>
      </x:c>
      <x:c r="Q161" s="35" t="str">
        <x:v>7.2.1</x:v>
      </x:c>
      <x:c r="R161" s="35" t="str">
        <x:v>7.2.1安全防护棚搭设应符合下列规定：1当安全防护棚为非机动车辆通行时，棚底至地面高度不应小于3m；当安全防护棚为机动车辆通行时，棚底至地面高度不应小于4m。2当建筑物高度大于24m并采用木质板搭设时，应搭设双层安全防护棚。两层防护的间距不应小于700mm，安全防护棚的高度不应小于4m。3当安全防护棚的顶棚采用竹笆或木质板搭设时，应采用双层搭设，间距不应小于700mm：当采用木质板或与其等强度的其他材料搭设时，可采用单层搭设，木板厚度不应小于50mm。防护棚的长度应根据建筑物高度与可能坠落半径确定</x:v>
      </x:c>
      <x:c r="S161" s="41" t="n">
        <x:v>24</x:v>
      </x:c>
      <x:c r="T161" s="44" t="n">
        <x:v>18</x:v>
      </x:c>
    </x:row>
    <x:row r="162" ht="56" customHeight="1">
      <x:c r="A162" s="40" t="str">
        <x:v>JC-011</x:v>
      </x:c>
      <x:c r="B162" s="41" t="str">
        <x:v>启用</x:v>
      </x:c>
      <x:c r="C162" s="35" t="str">
        <x:v>交叉作业</x:v>
      </x:c>
      <x:c r="D162" s="35" t="str">
        <x:v>隔离、防护棚与警戒</x:v>
      </x:c>
      <x:c r="E162" s="35" t="str">
        <x:v>当建筑物高度大于24m并采用木质板搭设时</x:v>
      </x:c>
      <x:c r="F162" s="35" t="str">
        <x:v>当建筑物高度大于24m并采用木质板搭设时，应搭设双层安全防护棚</x:v>
      </x:c>
      <x:c r="G162" s="35" t="str">
        <x:v>24m</x:v>
      </x:c>
      <x:c r="H162" s="41" t="str">
        <x:v>应执行</x:v>
      </x:c>
      <x:c r="I162" s="35" t="str">
        <x:v>物体打击；高处坠落</x:v>
      </x:c>
      <x:c r="J162" s="41" t="str">
        <x:v>较大</x:v>
      </x:c>
      <x:c r="K162" s="35" t="str">
        <x:v>高处作业人员；安全员；施工员；班组长</x:v>
      </x:c>
      <x:c r="L162" s="35" t="str">
        <x:v>现场目视+尺寸/仪器测量</x:v>
      </x:c>
      <x:c r="M162" s="35" t="str">
        <x:v>建筑施工高处作业安全技术规范</x:v>
      </x:c>
      <x:c r="N162" s="35" t="str">
        <x:v>JGJ 80-2016</x:v>
      </x:c>
      <x:c r="O162" s="35" t="str">
        <x:v>行业标准</x:v>
      </x:c>
      <x:c r="P162" s="35" t="str">
        <x:v>现行版本（提交前建议再核验官方状态）</x:v>
      </x:c>
      <x:c r="Q162" s="35" t="str">
        <x:v>7.2.1</x:v>
      </x:c>
      <x:c r="R162" s="35" t="str">
        <x:v>7.2.1安全防护棚搭设应符合下列规定：1当安全防护棚为非机动车辆通行时，棚底至地面高度不应小于3m；当安全防护棚为机动车辆通行时，棚底至地面高度不应小于4m。2当建筑物高度大于24m并采用木质板搭设时，应搭设双层安全防护棚。两层防护的间距不应小于700mm，安全防护棚的高度不应小于4m。3当安全防护棚的顶棚采用竹笆或木质板搭设时，应采用双层搭设，间距不应小于700mm：当采用木质板或与其等强度的其他材料搭设时，可采用单层搭设，木板厚度不应小于50mm。防护棚的长度应根据建筑物高度与可能坠落半径确定</x:v>
      </x:c>
      <x:c r="S162" s="41" t="n">
        <x:v>24</x:v>
      </x:c>
      <x:c r="T162" s="44" t="n">
        <x:v>18</x:v>
      </x:c>
    </x:row>
    <x:row r="163" ht="56" customHeight="1">
      <x:c r="A163" s="40" t="str">
        <x:v>JC-012</x:v>
      </x:c>
      <x:c r="B163" s="41" t="str">
        <x:v>启用</x:v>
      </x:c>
      <x:c r="C163" s="35" t="str">
        <x:v>交叉作业</x:v>
      </x:c>
      <x:c r="D163" s="35" t="str">
        <x:v>隔离、防护棚与警戒</x:v>
      </x:c>
      <x:c r="E163" s="35" t="str">
        <x:v>上下不同层面同时或交叉作业时</x:v>
      </x:c>
      <x:c r="F163" s="35" t="str">
        <x:v>两层防护的间距不应小于700mm，安全防护棚的高度不应小于4m</x:v>
      </x:c>
      <x:c r="G163" s="35" t="str">
        <x:v>700mm；4m</x:v>
      </x:c>
      <x:c r="H163" s="41" t="str">
        <x:v>禁止/不得</x:v>
      </x:c>
      <x:c r="I163" s="35" t="str">
        <x:v>物体打击；高处坠落</x:v>
      </x:c>
      <x:c r="J163" s="41" t="str">
        <x:v>重大</x:v>
      </x:c>
      <x:c r="K163" s="35" t="str">
        <x:v>高处作业人员；安全员；施工员；班组长</x:v>
      </x:c>
      <x:c r="L163" s="35" t="str">
        <x:v>现场目视+尺寸/仪器测量</x:v>
      </x:c>
      <x:c r="M163" s="35" t="str">
        <x:v>建筑施工高处作业安全技术规范</x:v>
      </x:c>
      <x:c r="N163" s="35" t="str">
        <x:v>JGJ 80-2016</x:v>
      </x:c>
      <x:c r="O163" s="35" t="str">
        <x:v>行业标准</x:v>
      </x:c>
      <x:c r="P163" s="35" t="str">
        <x:v>现行版本（提交前建议再核验官方状态）</x:v>
      </x:c>
      <x:c r="Q163" s="35" t="str">
        <x:v>7.2.1</x:v>
      </x:c>
      <x:c r="R163" s="35" t="str">
        <x:v>7.2.1安全防护棚搭设应符合下列规定：1当安全防护棚为非机动车辆通行时，棚底至地面高度不应小于3m；当安全防护棚为机动车辆通行时，棚底至地面高度不应小于4m。2当建筑物高度大于24m并采用木质板搭设时，应搭设双层安全防护棚。两层防护的间距不应小于700mm，安全防护棚的高度不应小于4m。3当安全防护棚的顶棚采用竹笆或木质板搭设时，应采用双层搭设，间距不应小于700mm：当采用木质板或与其等强度的其他材料搭设时，可采用单层搭设，木板厚度不应小于50mm。防护棚的长度应根据建筑物高度与可能坠落半径确定</x:v>
      </x:c>
      <x:c r="S163" s="41" t="n">
        <x:v>24</x:v>
      </x:c>
      <x:c r="T163" s="44" t="n">
        <x:v>18</x:v>
      </x:c>
    </x:row>
    <x:row r="164" ht="56" customHeight="1">
      <x:c r="A164" s="40" t="str">
        <x:v>JC-013</x:v>
      </x:c>
      <x:c r="B164" s="41" t="str">
        <x:v>启用</x:v>
      </x:c>
      <x:c r="C164" s="35" t="str">
        <x:v>交叉作业</x:v>
      </x:c>
      <x:c r="D164" s="35" t="str">
        <x:v>隔离、防护棚与警戒</x:v>
      </x:c>
      <x:c r="E164" s="35" t="str">
        <x:v>当安全防护棚的顶棚采用竹笆或木质板搭设时</x:v>
      </x:c>
      <x:c r="F164" s="35" t="str">
        <x:v>当安全防护棚的顶棚采用竹笆或木质板搭设时，应采用双层搭设，间距不应小于700mm：当采用木质板或与其等强度的其他材料搭设时，可采用单层搭设，木板厚度不应小于50mm</x:v>
      </x:c>
      <x:c r="G164" s="35" t="str">
        <x:v>700mm；50mm</x:v>
      </x:c>
      <x:c r="H164" s="41" t="str">
        <x:v>禁止/不得</x:v>
      </x:c>
      <x:c r="I164" s="35" t="str">
        <x:v>物体打击；高处坠落</x:v>
      </x:c>
      <x:c r="J164" s="41" t="str">
        <x:v>重大</x:v>
      </x:c>
      <x:c r="K164" s="35" t="str">
        <x:v>高处作业人员；安全员；施工员；班组长</x:v>
      </x:c>
      <x:c r="L164" s="35" t="str">
        <x:v>现场目视+尺寸/仪器测量</x:v>
      </x:c>
      <x:c r="M164" s="35" t="str">
        <x:v>建筑施工高处作业安全技术规范</x:v>
      </x:c>
      <x:c r="N164" s="35" t="str">
        <x:v>JGJ 80-2016</x:v>
      </x:c>
      <x:c r="O164" s="35" t="str">
        <x:v>行业标准</x:v>
      </x:c>
      <x:c r="P164" s="35" t="str">
        <x:v>现行版本（提交前建议再核验官方状态）</x:v>
      </x:c>
      <x:c r="Q164" s="35" t="str">
        <x:v>7.2.1</x:v>
      </x:c>
      <x:c r="R164" s="35" t="str">
        <x:v>7.2.1安全防护棚搭设应符合下列规定：1当安全防护棚为非机动车辆通行时，棚底至地面高度不应小于3m；当安全防护棚为机动车辆通行时，棚底至地面高度不应小于4m。2当建筑物高度大于24m并采用木质板搭设时，应搭设双层安全防护棚。两层防护的间距不应小于700mm，安全防护棚的高度不应小于4m。3当安全防护棚的顶棚采用竹笆或木质板搭设时，应采用双层搭设，间距不应小于700mm：当采用木质板或与其等强度的其他材料搭设时，可采用单层搭设，木板厚度不应小于50mm。防护棚的长度应根据建筑物高度与可能坠落半径确定</x:v>
      </x:c>
      <x:c r="S164" s="41" t="n">
        <x:v>24</x:v>
      </x:c>
      <x:c r="T164" s="44" t="n">
        <x:v>18</x:v>
      </x:c>
    </x:row>
    <x:row r="165" ht="56" customHeight="1">
      <x:c r="A165" s="40" t="str">
        <x:v>JC-014</x:v>
      </x:c>
      <x:c r="B165" s="41" t="str">
        <x:v>启用</x:v>
      </x:c>
      <x:c r="C165" s="35" t="str">
        <x:v>交叉作业</x:v>
      </x:c>
      <x:c r="D165" s="35" t="str">
        <x:v>隔离、防护棚与警戒</x:v>
      </x:c>
      <x:c r="E165" s="35" t="str">
        <x:v>上下不同层面同时或交叉作业时</x:v>
      </x:c>
      <x:c r="F165" s="35" t="str">
        <x:v>防护棚的长度应根据建筑物高度与可能坠落半径确定</x:v>
      </x:c>
      <x:c r="G165" s="35" t="str">
        <x:v>无明确数值；按文本要求判断</x:v>
      </x:c>
      <x:c r="H165" s="41" t="str">
        <x:v>应执行</x:v>
      </x:c>
      <x:c r="I165" s="35" t="str">
        <x:v>物体打击；高处坠落</x:v>
      </x:c>
      <x:c r="J165" s="41" t="str">
        <x:v>较大</x:v>
      </x:c>
      <x:c r="K165" s="35" t="str">
        <x:v>高处作业人员；安全员；施工员；班组长</x:v>
      </x:c>
      <x:c r="L165" s="35" t="str">
        <x:v>现场检查+人工确认</x:v>
      </x:c>
      <x:c r="M165" s="35" t="str">
        <x:v>建筑施工高处作业安全技术规范</x:v>
      </x:c>
      <x:c r="N165" s="35" t="str">
        <x:v>JGJ 80-2016</x:v>
      </x:c>
      <x:c r="O165" s="35" t="str">
        <x:v>行业标准</x:v>
      </x:c>
      <x:c r="P165" s="35" t="str">
        <x:v>现行版本（提交前建议再核验官方状态）</x:v>
      </x:c>
      <x:c r="Q165" s="35" t="str">
        <x:v>7.2.1</x:v>
      </x:c>
      <x:c r="R165" s="35" t="str">
        <x:v>7.2.1安全防护棚搭设应符合下列规定：1当安全防护棚为非机动车辆通行时，棚底至地面高度不应小于3m；当安全防护棚为机动车辆通行时，棚底至地面高度不应小于4m。2当建筑物高度大于24m并采用木质板搭设时，应搭设双层安全防护棚。两层防护的间距不应小于700mm，安全防护棚的高度不应小于4m。3当安全防护棚的顶棚采用竹笆或木质板搭设时，应采用双层搭设，间距不应小于700mm：当采用木质板或与其等强度的其他材料搭设时，可采用单层搭设，木板厚度不应小于50mm。防护棚的长度应根据建筑物高度与可能坠落半径确定</x:v>
      </x:c>
      <x:c r="S165" s="41" t="n">
        <x:v>24</x:v>
      </x:c>
      <x:c r="T165" s="44" t="n">
        <x:v>18</x:v>
      </x:c>
    </x:row>
    <x:row r="166" ht="56" customHeight="1">
      <x:c r="A166" s="40" t="str">
        <x:v>JC-015</x:v>
      </x:c>
      <x:c r="B166" s="41" t="str">
        <x:v>启用</x:v>
      </x:c>
      <x:c r="C166" s="35" t="str">
        <x:v>交叉作业</x:v>
      </x:c>
      <x:c r="D166" s="35" t="str">
        <x:v>隔离、防护棚与警戒</x:v>
      </x:c>
      <x:c r="E166" s="35" t="str">
        <x:v>上下不同层面同时或交叉作业时</x:v>
      </x:c>
      <x:c r="F166" s="35" t="str">
        <x:v>安全防护网搭设时，应每隔3m设一根支撑杆，支撑杆水平夹角不宜小于45°</x:v>
      </x:c>
      <x:c r="G166" s="35" t="str">
        <x:v>3m；45°</x:v>
      </x:c>
      <x:c r="H166" s="41" t="str">
        <x:v>应执行</x:v>
      </x:c>
      <x:c r="I166" s="35" t="str">
        <x:v>物体打击；高处坠落</x:v>
      </x:c>
      <x:c r="J166" s="41" t="str">
        <x:v>较大</x:v>
      </x:c>
      <x:c r="K166" s="35" t="str">
        <x:v>高处作业人员；安全员；施工员；班组长</x:v>
      </x:c>
      <x:c r="L166" s="35" t="str">
        <x:v>现场目视+尺寸/仪器测量</x:v>
      </x:c>
      <x:c r="M166" s="35" t="str">
        <x:v>建筑施工高处作业安全技术规范</x:v>
      </x:c>
      <x:c r="N166" s="35" t="str">
        <x:v>JGJ 80-2016</x:v>
      </x:c>
      <x:c r="O166" s="35" t="str">
        <x:v>行业标准</x:v>
      </x:c>
      <x:c r="P166" s="35" t="str">
        <x:v>现行版本（提交前建议再核验官方状态）</x:v>
      </x:c>
      <x:c r="Q166" s="35" t="str">
        <x:v>7.2.2</x:v>
      </x:c>
      <x:c r="R166" s="35" t="str">
        <x:v>7.2.2安全防护网搭设应符合下列规定：1安全防护网搭设时，应每隔3m设一根支撑杆，支撑杆水平夹角不宜小于45°；2当在楼层设支撑杆时，应预埋钢筋环或在结构内外侧各设一道横杆；3安全防护网应外高里低，网与网之间应拼接严密。188建筑施工安全网</x:v>
      </x:c>
      <x:c r="S166" s="41" t="n">
        <x:v>24</x:v>
      </x:c>
      <x:c r="T166" s="44" t="n">
        <x:v>18</x:v>
      </x:c>
    </x:row>
    <x:row r="167" ht="56" customHeight="1">
      <x:c r="A167" s="40" t="str">
        <x:v>JC-016</x:v>
      </x:c>
      <x:c r="B167" s="41" t="str">
        <x:v>启用</x:v>
      </x:c>
      <x:c r="C167" s="35" t="str">
        <x:v>交叉作业</x:v>
      </x:c>
      <x:c r="D167" s="35" t="str">
        <x:v>隔离、防护棚与警戒</x:v>
      </x:c>
      <x:c r="E167" s="35" t="str">
        <x:v>当在楼层设支撑杆时</x:v>
      </x:c>
      <x:c r="F167" s="35" t="str">
        <x:v>当在楼层设支撑杆时，应预埋钢筋环或在结构内外侧各设一道横杆</x:v>
      </x:c>
      <x:c r="G167" s="35" t="str">
        <x:v>无明确数值；按文本要求判断</x:v>
      </x:c>
      <x:c r="H167" s="41" t="str">
        <x:v>应执行</x:v>
      </x:c>
      <x:c r="I167" s="35" t="str">
        <x:v>物体打击；高处坠落</x:v>
      </x:c>
      <x:c r="J167" s="41" t="str">
        <x:v>较大</x:v>
      </x:c>
      <x:c r="K167" s="35" t="str">
        <x:v>高处作业人员；安全员；施工员；班组长</x:v>
      </x:c>
      <x:c r="L167" s="35" t="str">
        <x:v>现场检查+人工确认</x:v>
      </x:c>
      <x:c r="M167" s="35" t="str">
        <x:v>建筑施工高处作业安全技术规范</x:v>
      </x:c>
      <x:c r="N167" s="35" t="str">
        <x:v>JGJ 80-2016</x:v>
      </x:c>
      <x:c r="O167" s="35" t="str">
        <x:v>行业标准</x:v>
      </x:c>
      <x:c r="P167" s="35" t="str">
        <x:v>现行版本（提交前建议再核验官方状态）</x:v>
      </x:c>
      <x:c r="Q167" s="35" t="str">
        <x:v>7.2.2</x:v>
      </x:c>
      <x:c r="R167" s="35" t="str">
        <x:v>7.2.2安全防护网搭设应符合下列规定：1安全防护网搭设时，应每隔3m设一根支撑杆，支撑杆水平夹角不宜小于45°；2当在楼层设支撑杆时，应预埋钢筋环或在结构内外侧各设一道横杆；3安全防护网应外高里低，网与网之间应拼接严密。188建筑施工安全网</x:v>
      </x:c>
      <x:c r="S167" s="41" t="n">
        <x:v>24</x:v>
      </x:c>
      <x:c r="T167" s="44" t="n">
        <x:v>18</x:v>
      </x:c>
    </x:row>
    <x:row r="168" ht="56" customHeight="1">
      <x:c r="A168" s="40" t="str">
        <x:v>JC-017</x:v>
      </x:c>
      <x:c r="B168" s="41" t="str">
        <x:v>启用</x:v>
      </x:c>
      <x:c r="C168" s="35" t="str">
        <x:v>交叉作业</x:v>
      </x:c>
      <x:c r="D168" s="35" t="str">
        <x:v>隔离、防护棚与警戒</x:v>
      </x:c>
      <x:c r="E168" s="35" t="str">
        <x:v>上下不同层面同时或交叉作业时</x:v>
      </x:c>
      <x:c r="F168" s="35" t="str">
        <x:v>安全防护网应外高里低，网与网之间应拼接严密</x:v>
      </x:c>
      <x:c r="G168" s="35" t="str">
        <x:v>无明确数值；按文本要求判断</x:v>
      </x:c>
      <x:c r="H168" s="41" t="str">
        <x:v>应执行</x:v>
      </x:c>
      <x:c r="I168" s="35" t="str">
        <x:v>物体打击；高处坠落</x:v>
      </x:c>
      <x:c r="J168" s="41" t="str">
        <x:v>较大</x:v>
      </x:c>
      <x:c r="K168" s="35" t="str">
        <x:v>高处作业人员；安全员；施工员；班组长</x:v>
      </x:c>
      <x:c r="L168" s="35" t="str">
        <x:v>现场检查+人工确认</x:v>
      </x:c>
      <x:c r="M168" s="35" t="str">
        <x:v>建筑施工高处作业安全技术规范</x:v>
      </x:c>
      <x:c r="N168" s="35" t="str">
        <x:v>JGJ 80-2016</x:v>
      </x:c>
      <x:c r="O168" s="35" t="str">
        <x:v>行业标准</x:v>
      </x:c>
      <x:c r="P168" s="35" t="str">
        <x:v>现行版本（提交前建议再核验官方状态）</x:v>
      </x:c>
      <x:c r="Q168" s="35" t="str">
        <x:v>7.2.2</x:v>
      </x:c>
      <x:c r="R168" s="35" t="str">
        <x:v>7.2.2安全防护网搭设应符合下列规定：1安全防护网搭设时，应每隔3m设一根支撑杆，支撑杆水平夹角不宜小于45°；2当在楼层设支撑杆时，应预埋钢筋环或在结构内外侧各设一道横杆；3安全防护网应外高里低，网与网之间应拼接严密。188建筑施工安全网</x:v>
      </x:c>
      <x:c r="S168" s="41" t="n">
        <x:v>24</x:v>
      </x:c>
      <x:c r="T168" s="44" t="n">
        <x:v>18</x:v>
      </x:c>
    </x:row>
    <x:row r="169" ht="56" customHeight="1">
      <x:c r="A169" s="40" t="str">
        <x:v>AQW-001</x:v>
      </x:c>
      <x:c r="B169" s="41" t="str">
        <x:v>启用</x:v>
      </x:c>
      <x:c r="C169" s="35" t="str">
        <x:v>建筑施工安全网</x:v>
      </x:c>
      <x:c r="D169" s="35" t="str">
        <x:v>安全网选用、搭设与验收</x:v>
      </x:c>
      <x:c r="E169" s="35" t="str">
        <x:v>选用、搭设或验收安全网时</x:v>
      </x:c>
      <x:c r="F169" s="35" t="str">
        <x:v>安全网材质、规格、物理性能、耐火性、阻燃性应满足现行国家标准《安全网》GB5725的规定</x:v>
      </x:c>
      <x:c r="G169" s="35" t="str">
        <x:v>无明确数值；按文本要求判断</x:v>
      </x:c>
      <x:c r="H169" s="41" t="str">
        <x:v>应执行</x:v>
      </x:c>
      <x:c r="I169" s="35" t="str">
        <x:v>物体打击；高处坠落</x:v>
      </x:c>
      <x:c r="J169" s="41" t="str">
        <x:v>较大</x:v>
      </x:c>
      <x:c r="K169" s="35" t="str">
        <x:v>高处作业人员；安全员；施工员；班组长</x:v>
      </x:c>
      <x:c r="L169" s="35" t="str">
        <x:v>现场目视+尺寸/仪器测量</x:v>
      </x:c>
      <x:c r="M169" s="35" t="str">
        <x:v>建筑施工高处作业安全技术规范</x:v>
      </x:c>
      <x:c r="N169" s="35" t="str">
        <x:v>JGJ 80-2016</x:v>
      </x:c>
      <x:c r="O169" s="35" t="str">
        <x:v>行业标准</x:v>
      </x:c>
      <x:c r="P169" s="35" t="str">
        <x:v>现行版本（提交前建议再核验官方状态）</x:v>
      </x:c>
      <x:c r="Q169" s="35" t="str">
        <x:v>8.1.1</x:v>
      </x:c>
      <x:c r="R169" s="35" t="str">
        <x:v>8.1.1建筑施工安全网的选用应符合下列规定：1安全网材质、规格、物理性能、耐火性、阻燃性应满足现行国家标准《安全网》GB5725的规定；2密目式安全立网的网目密度应为10cm×10cm面积上大于或等于2000目</x:v>
      </x:c>
      <x:c r="S169" s="41" t="n">
        <x:v>25</x:v>
      </x:c>
      <x:c r="T169" s="44" t="n">
        <x:v>19</x:v>
      </x:c>
    </x:row>
    <x:row r="170" ht="56" customHeight="1">
      <x:c r="A170" s="40" t="str">
        <x:v>AQW-002</x:v>
      </x:c>
      <x:c r="B170" s="41" t="str">
        <x:v>启用</x:v>
      </x:c>
      <x:c r="C170" s="35" t="str">
        <x:v>建筑施工安全网</x:v>
      </x:c>
      <x:c r="D170" s="35" t="str">
        <x:v>安全网选用、搭设与验收</x:v>
      </x:c>
      <x:c r="E170" s="35" t="str">
        <x:v>选用、搭设或验收安全网时</x:v>
      </x:c>
      <x:c r="F170" s="35" t="str">
        <x:v>密目式安全立网的网目密度应为10cm×10cm面积上大于或等于2000目</x:v>
      </x:c>
      <x:c r="G170" s="35" t="str">
        <x:v>10cm；2000目</x:v>
      </x:c>
      <x:c r="H170" s="41" t="str">
        <x:v>应执行</x:v>
      </x:c>
      <x:c r="I170" s="35" t="str">
        <x:v>物体打击；高处坠落</x:v>
      </x:c>
      <x:c r="J170" s="41" t="str">
        <x:v>较大</x:v>
      </x:c>
      <x:c r="K170" s="35" t="str">
        <x:v>高处作业人员；安全员；施工员；班组长</x:v>
      </x:c>
      <x:c r="L170" s="35" t="str">
        <x:v>现场目视+尺寸/仪器测量</x:v>
      </x:c>
      <x:c r="M170" s="35" t="str">
        <x:v>建筑施工高处作业安全技术规范</x:v>
      </x:c>
      <x:c r="N170" s="35" t="str">
        <x:v>JGJ 80-2016</x:v>
      </x:c>
      <x:c r="O170" s="35" t="str">
        <x:v>行业标准</x:v>
      </x:c>
      <x:c r="P170" s="35" t="str">
        <x:v>现行版本（提交前建议再核验官方状态）</x:v>
      </x:c>
      <x:c r="Q170" s="35" t="str">
        <x:v>8.1.1</x:v>
      </x:c>
      <x:c r="R170" s="35" t="str">
        <x:v>8.1.1建筑施工安全网的选用应符合下列规定：1安全网材质、规格、物理性能、耐火性、阻燃性应满足现行国家标准《安全网》GB5725的规定；2密目式安全立网的网目密度应为10cm×10cm面积上大于或等于2000目</x:v>
      </x:c>
      <x:c r="S170" s="41" t="n">
        <x:v>25</x:v>
      </x:c>
      <x:c r="T170" s="44" t="n">
        <x:v>19</x:v>
      </x:c>
    </x:row>
    <x:row r="171" ht="56" customHeight="1">
      <x:c r="A171" s="40" t="str">
        <x:v>AQW-003</x:v>
      </x:c>
      <x:c r="B171" s="41" t="str">
        <x:v>启用</x:v>
      </x:c>
      <x:c r="C171" s="35" t="str">
        <x:v>建筑施工安全网</x:v>
      </x:c>
      <x:c r="D171" s="35" t="str">
        <x:v>安全网选用、搭设与验收</x:v>
      </x:c>
      <x:c r="E171" s="35" t="str">
        <x:v>采用平网防护时</x:v>
      </x:c>
      <x:c r="F171" s="35" t="str">
        <x:v>采用平网防护时，严禁使用密目式安全立网代替平网使用</x:v>
      </x:c>
      <x:c r="G171" s="35" t="str">
        <x:v>无明确数值；按文本要求判断</x:v>
      </x:c>
      <x:c r="H171" s="41" t="str">
        <x:v>禁止/不得</x:v>
      </x:c>
      <x:c r="I171" s="35" t="str">
        <x:v>物体打击；高处坠落</x:v>
      </x:c>
      <x:c r="J171" s="41" t="str">
        <x:v>重大</x:v>
      </x:c>
      <x:c r="K171" s="35" t="str">
        <x:v>高处作业人员；安全员；施工员；班组长</x:v>
      </x:c>
      <x:c r="L171" s="35" t="str">
        <x:v>现场检查+人工确认</x:v>
      </x:c>
      <x:c r="M171" s="35" t="str">
        <x:v>建筑施工高处作业安全技术规范</x:v>
      </x:c>
      <x:c r="N171" s="35" t="str">
        <x:v>JGJ 80-2016</x:v>
      </x:c>
      <x:c r="O171" s="35" t="str">
        <x:v>行业标准</x:v>
      </x:c>
      <x:c r="P171" s="35" t="str">
        <x:v>现行版本（提交前建议再核验官方状态）</x:v>
      </x:c>
      <x:c r="Q171" s="35" t="str">
        <x:v>8.1.2</x:v>
      </x:c>
      <x:c r="R171" s="35" t="str">
        <x:v>8.1.2采用平网防护时，严禁使用密目式安全立网代替平网使用</x:v>
      </x:c>
      <x:c r="S171" s="41" t="n">
        <x:v>25</x:v>
      </x:c>
      <x:c r="T171" s="44" t="n">
        <x:v>19</x:v>
      </x:c>
    </x:row>
    <x:row r="172" ht="56" customHeight="1">
      <x:c r="A172" s="40" t="str">
        <x:v>AQW-004</x:v>
      </x:c>
      <x:c r="B172" s="41" t="str">
        <x:v>启用</x:v>
      </x:c>
      <x:c r="C172" s="35" t="str">
        <x:v>建筑施工安全网</x:v>
      </x:c>
      <x:c r="D172" s="35" t="str">
        <x:v>安全网选用、搭设与验收</x:v>
      </x:c>
      <x:c r="E172" s="35" t="str">
        <x:v>选用、搭设或验收安全网时</x:v>
      </x:c>
      <x:c r="F172" s="35" t="str">
        <x:v>密目式安全立网使用前，应检查产品分类标记、产品合格证、网目数及网体重量，确认合格方可使用</x:v>
      </x:c>
      <x:c r="G172" s="35" t="str">
        <x:v>无明确数值；按文本要求判断</x:v>
      </x:c>
      <x:c r="H172" s="41" t="str">
        <x:v>应执行</x:v>
      </x:c>
      <x:c r="I172" s="35" t="str">
        <x:v>物体打击；高处坠落</x:v>
      </x:c>
      <x:c r="J172" s="41" t="str">
        <x:v>较大</x:v>
      </x:c>
      <x:c r="K172" s="35" t="str">
        <x:v>安全员；施工员；监理人员；班组长</x:v>
      </x:c>
      <x:c r="L172" s="35" t="str">
        <x:v>文件核验</x:v>
      </x:c>
      <x:c r="M172" s="35" t="str">
        <x:v>建筑施工高处作业安全技术规范</x:v>
      </x:c>
      <x:c r="N172" s="35" t="str">
        <x:v>JGJ 80-2016</x:v>
      </x:c>
      <x:c r="O172" s="35" t="str">
        <x:v>行业标准</x:v>
      </x:c>
      <x:c r="P172" s="35" t="str">
        <x:v>现行版本（提交前建议再核验官方状态）</x:v>
      </x:c>
      <x:c r="Q172" s="35" t="str">
        <x:v>8.1.3</x:v>
      </x:c>
      <x:c r="R172" s="35" t="str">
        <x:v>8.1.3密目式安全立网使用前，应检查产品分类标记、产品合格证、网目数及网体重量，确认合格方可使用</x:v>
      </x:c>
      <x:c r="S172" s="41" t="n">
        <x:v>25</x:v>
      </x:c>
      <x:c r="T172" s="44" t="n">
        <x:v>19</x:v>
      </x:c>
    </x:row>
    <x:row r="173" ht="56" customHeight="1">
      <x:c r="A173" s="40" t="str">
        <x:v>AQW-005</x:v>
      </x:c>
      <x:c r="B173" s="41" t="str">
        <x:v>启用</x:v>
      </x:c>
      <x:c r="C173" s="35" t="str">
        <x:v>建筑施工安全网</x:v>
      </x:c>
      <x:c r="D173" s="35" t="str">
        <x:v>安全网选用、搭设与验收</x:v>
      </x:c>
      <x:c r="E173" s="35" t="str">
        <x:v>选用、搭设或验收安全网时</x:v>
      </x:c>
      <x:c r="F173" s="35" t="str">
        <x:v>安全网搭设应绑扎牢固、网间严密</x:v>
      </x:c>
      <x:c r="G173" s="35" t="str">
        <x:v>无明确数值；按文本要求判断</x:v>
      </x:c>
      <x:c r="H173" s="41" t="str">
        <x:v>应执行</x:v>
      </x:c>
      <x:c r="I173" s="35" t="str">
        <x:v>物体打击；高处坠落</x:v>
      </x:c>
      <x:c r="J173" s="41" t="str">
        <x:v>较大</x:v>
      </x:c>
      <x:c r="K173" s="35" t="str">
        <x:v>高处作业人员；安全员；施工员；班组长</x:v>
      </x:c>
      <x:c r="L173" s="35" t="str">
        <x:v>现场目视或影像检查</x:v>
      </x:c>
      <x:c r="M173" s="35" t="str">
        <x:v>建筑施工高处作业安全技术规范</x:v>
      </x:c>
      <x:c r="N173" s="35" t="str">
        <x:v>JGJ 80-2016</x:v>
      </x:c>
      <x:c r="O173" s="35" t="str">
        <x:v>行业标准</x:v>
      </x:c>
      <x:c r="P173" s="35" t="str">
        <x:v>现行版本（提交前建议再核验官方状态）</x:v>
      </x:c>
      <x:c r="Q173" s="35" t="str">
        <x:v>8.2.1</x:v>
      </x:c>
      <x:c r="R173" s="35" t="str">
        <x:v>8.2.1安全网搭设应绑扎牢固、网间严密。安全网的支撑架应具有足够的强度和稳定性</x:v>
      </x:c>
      <x:c r="S173" s="41" t="n">
        <x:v>25</x:v>
      </x:c>
      <x:c r="T173" s="44" t="n">
        <x:v>19</x:v>
      </x:c>
    </x:row>
    <x:row r="174" ht="56" customHeight="1">
      <x:c r="A174" s="40" t="str">
        <x:v>AQW-006</x:v>
      </x:c>
      <x:c r="B174" s="41" t="str">
        <x:v>启用</x:v>
      </x:c>
      <x:c r="C174" s="35" t="str">
        <x:v>建筑施工安全网</x:v>
      </x:c>
      <x:c r="D174" s="35" t="str">
        <x:v>安全网选用、搭设与验收</x:v>
      </x:c>
      <x:c r="E174" s="35" t="str">
        <x:v>选用、搭设或验收安全网时</x:v>
      </x:c>
      <x:c r="F174" s="35" t="str">
        <x:v>安全网的支撑架应具有足够的强度和稳定性</x:v>
      </x:c>
      <x:c r="G174" s="35" t="str">
        <x:v>无明确数值；按文本要求判断</x:v>
      </x:c>
      <x:c r="H174" s="41" t="str">
        <x:v>应执行</x:v>
      </x:c>
      <x:c r="I174" s="35" t="str">
        <x:v>物体打击；高处坠落</x:v>
      </x:c>
      <x:c r="J174" s="41" t="str">
        <x:v>较大</x:v>
      </x:c>
      <x:c r="K174" s="35" t="str">
        <x:v>高处作业人员；安全员；施工员；班组长</x:v>
      </x:c>
      <x:c r="L174" s="35" t="str">
        <x:v>现场目视或影像检查</x:v>
      </x:c>
      <x:c r="M174" s="35" t="str">
        <x:v>建筑施工高处作业安全技术规范</x:v>
      </x:c>
      <x:c r="N174" s="35" t="str">
        <x:v>JGJ 80-2016</x:v>
      </x:c>
      <x:c r="O174" s="35" t="str">
        <x:v>行业标准</x:v>
      </x:c>
      <x:c r="P174" s="35" t="str">
        <x:v>现行版本（提交前建议再核验官方状态）</x:v>
      </x:c>
      <x:c r="Q174" s="35" t="str">
        <x:v>8.2.1</x:v>
      </x:c>
      <x:c r="R174" s="35" t="str">
        <x:v>8.2.1安全网搭设应绑扎牢固、网间严密。安全网的支撑架应具有足够的强度和稳定性</x:v>
      </x:c>
      <x:c r="S174" s="41" t="n">
        <x:v>25</x:v>
      </x:c>
      <x:c r="T174" s="44" t="n">
        <x:v>19</x:v>
      </x:c>
    </x:row>
    <x:row r="175" ht="56" customHeight="1">
      <x:c r="A175" s="40" t="str">
        <x:v>AQW-007</x:v>
      </x:c>
      <x:c r="B175" s="41" t="str">
        <x:v>启用</x:v>
      </x:c>
      <x:c r="C175" s="35" t="str">
        <x:v>建筑施工安全网</x:v>
      </x:c>
      <x:c r="D175" s="35" t="str">
        <x:v>安全网选用、搭设与验收</x:v>
      </x:c>
      <x:c r="E175" s="35" t="str">
        <x:v>选用、搭设或验收安全网时</x:v>
      </x:c>
      <x:c r="F175" s="35" t="str">
        <x:v>密目式安全立网搭设时，每个开眼环扣应穿入系绳，系绳应绑扎在支撑架上，间距不得大于450mm</x:v>
      </x:c>
      <x:c r="G175" s="35" t="str">
        <x:v>450mm</x:v>
      </x:c>
      <x:c r="H175" s="41" t="str">
        <x:v>禁止/不得</x:v>
      </x:c>
      <x:c r="I175" s="35" t="str">
        <x:v>物体打击；高处坠落</x:v>
      </x:c>
      <x:c r="J175" s="41" t="str">
        <x:v>重大</x:v>
      </x:c>
      <x:c r="K175" s="35" t="str">
        <x:v>高处作业人员；安全员；施工员；班组长</x:v>
      </x:c>
      <x:c r="L175" s="35" t="str">
        <x:v>现场目视+尺寸/仪器测量</x:v>
      </x:c>
      <x:c r="M175" s="35" t="str">
        <x:v>建筑施工高处作业安全技术规范</x:v>
      </x:c>
      <x:c r="N175" s="35" t="str">
        <x:v>JGJ 80-2016</x:v>
      </x:c>
      <x:c r="O175" s="35" t="str">
        <x:v>行业标准</x:v>
      </x:c>
      <x:c r="P175" s="35" t="str">
        <x:v>现行版本（提交前建议再核验官方状态）</x:v>
      </x:c>
      <x:c r="Q175" s="35" t="str">
        <x:v>8.2.2</x:v>
      </x:c>
      <x:c r="R175" s="35" t="str">
        <x:v>8.2.2密目式安全立网搭设时，每个开眼环扣应穿入系绳，系绳应绑扎在支撑架上，间距不得大于450mm。相邻密目网间应紧密结合或重叠</x:v>
      </x:c>
      <x:c r="S175" s="41" t="n">
        <x:v>25</x:v>
      </x:c>
      <x:c r="T175" s="44" t="n">
        <x:v>19</x:v>
      </x:c>
    </x:row>
    <x:row r="176" ht="56" customHeight="1">
      <x:c r="A176" s="40" t="str">
        <x:v>AQW-008</x:v>
      </x:c>
      <x:c r="B176" s="41" t="str">
        <x:v>启用</x:v>
      </x:c>
      <x:c r="C176" s="35" t="str">
        <x:v>建筑施工安全网</x:v>
      </x:c>
      <x:c r="D176" s="35" t="str">
        <x:v>安全网选用、搭设与验收</x:v>
      </x:c>
      <x:c r="E176" s="35" t="str">
        <x:v>选用、搭设或验收安全网时</x:v>
      </x:c>
      <x:c r="F176" s="35" t="str">
        <x:v>相邻密目网间应紧密结合或重叠</x:v>
      </x:c>
      <x:c r="G176" s="35" t="str">
        <x:v>无明确数值；按文本要求判断</x:v>
      </x:c>
      <x:c r="H176" s="41" t="str">
        <x:v>应执行</x:v>
      </x:c>
      <x:c r="I176" s="35" t="str">
        <x:v>物体打击；高处坠落</x:v>
      </x:c>
      <x:c r="J176" s="41" t="str">
        <x:v>较大</x:v>
      </x:c>
      <x:c r="K176" s="35" t="str">
        <x:v>高处作业人员；安全员；施工员；班组长</x:v>
      </x:c>
      <x:c r="L176" s="35" t="str">
        <x:v>现场检查+人工确认</x:v>
      </x:c>
      <x:c r="M176" s="35" t="str">
        <x:v>建筑施工高处作业安全技术规范</x:v>
      </x:c>
      <x:c r="N176" s="35" t="str">
        <x:v>JGJ 80-2016</x:v>
      </x:c>
      <x:c r="O176" s="35" t="str">
        <x:v>行业标准</x:v>
      </x:c>
      <x:c r="P176" s="35" t="str">
        <x:v>现行版本（提交前建议再核验官方状态）</x:v>
      </x:c>
      <x:c r="Q176" s="35" t="str">
        <x:v>8.2.2</x:v>
      </x:c>
      <x:c r="R176" s="35" t="str">
        <x:v>8.2.2密目式安全立网搭设时，每个开眼环扣应穿入系绳，系绳应绑扎在支撑架上，间距不得大于450mm。相邻密目网间应紧密结合或重叠</x:v>
      </x:c>
      <x:c r="S176" s="41" t="n">
        <x:v>25</x:v>
      </x:c>
      <x:c r="T176" s="44" t="n">
        <x:v>19</x:v>
      </x:c>
    </x:row>
    <x:row r="177" ht="56" customHeight="1">
      <x:c r="A177" s="40" t="str">
        <x:v>AQW-009</x:v>
      </x:c>
      <x:c r="B177" s="41" t="str">
        <x:v>启用</x:v>
      </x:c>
      <x:c r="C177" s="35" t="str">
        <x:v>建筑施工安全网</x:v>
      </x:c>
      <x:c r="D177" s="35" t="str">
        <x:v>安全网选用、搭设与验收</x:v>
      </x:c>
      <x:c r="E177" s="35" t="str">
        <x:v>当立网用于龙门架、物料提升架及井架的封闭防护时</x:v>
      </x:c>
      <x:c r="F177" s="35" t="str">
        <x:v>当立网用于龙门架、物料提升架及井架的封闭防护时，四周边绳应与支撑架贴紧，边绳的断裂张力不得小于3kN，系绳应绑在支撑架上，间距不得大于750mm</x:v>
      </x:c>
      <x:c r="G177" s="35" t="str">
        <x:v>3kN；750mm</x:v>
      </x:c>
      <x:c r="H177" s="41" t="str">
        <x:v>禁止/不得</x:v>
      </x:c>
      <x:c r="I177" s="35" t="str">
        <x:v>物体打击；高处坠落</x:v>
      </x:c>
      <x:c r="J177" s="41" t="str">
        <x:v>重大</x:v>
      </x:c>
      <x:c r="K177" s="35" t="str">
        <x:v>高处作业人员；安全员；施工员；班组长</x:v>
      </x:c>
      <x:c r="L177" s="35" t="str">
        <x:v>现场目视+尺寸/仪器测量</x:v>
      </x:c>
      <x:c r="M177" s="35" t="str">
        <x:v>建筑施工高处作业安全技术规范</x:v>
      </x:c>
      <x:c r="N177" s="35" t="str">
        <x:v>JGJ 80-2016</x:v>
      </x:c>
      <x:c r="O177" s="35" t="str">
        <x:v>行业标准</x:v>
      </x:c>
      <x:c r="P177" s="35" t="str">
        <x:v>现行版本（提交前建议再核验官方状态）</x:v>
      </x:c>
      <x:c r="Q177" s="35" t="str">
        <x:v>8.2.3</x:v>
      </x:c>
      <x:c r="R177" s="35" t="str">
        <x:v>8.2.3当立网用于龙门架、物料提升架及井架的封闭防护时，四周边绳应与支撑架贴紧，边绳的断裂张力不得小于3kN，系绳应绑在支撑架上，间距不得大于750mm</x:v>
      </x:c>
      <x:c r="S177" s="41" t="n">
        <x:v>25</x:v>
      </x:c>
      <x:c r="T177" s="44" t="n">
        <x:v>19</x:v>
      </x:c>
    </x:row>
    <x:row r="178" ht="56" customHeight="1">
      <x:c r="A178" s="40" t="str">
        <x:v>AQW-010</x:v>
      </x:c>
      <x:c r="B178" s="41" t="str">
        <x:v>启用</x:v>
      </x:c>
      <x:c r="C178" s="35" t="str">
        <x:v>建筑施工安全网</x:v>
      </x:c>
      <x:c r="D178" s="35" t="str">
        <x:v>安全网选用、搭设与验收</x:v>
      </x:c>
      <x:c r="E178" s="35" t="str">
        <x:v>选用、搭设或验收安全网时</x:v>
      </x:c>
      <x:c r="F178" s="35" t="str">
        <x:v>平网每个系结点上的边绳应与支撑架靠紧，边绳的断裂张力不得小于7kN，系绳沿网边应均匀分布，间距不得大于750mm</x:v>
      </x:c>
      <x:c r="G178" s="35" t="str">
        <x:v>7kN；750mm</x:v>
      </x:c>
      <x:c r="H178" s="41" t="str">
        <x:v>禁止/不得</x:v>
      </x:c>
      <x:c r="I178" s="35" t="str">
        <x:v>物体打击；高处坠落</x:v>
      </x:c>
      <x:c r="J178" s="41" t="str">
        <x:v>重大</x:v>
      </x:c>
      <x:c r="K178" s="35" t="str">
        <x:v>高处作业人员；安全员；施工员；班组长</x:v>
      </x:c>
      <x:c r="L178" s="35" t="str">
        <x:v>现场目视+尺寸/仪器测量</x:v>
      </x:c>
      <x:c r="M178" s="35" t="str">
        <x:v>建筑施工高处作业安全技术规范</x:v>
      </x:c>
      <x:c r="N178" s="35" t="str">
        <x:v>JGJ 80-2016</x:v>
      </x:c>
      <x:c r="O178" s="35" t="str">
        <x:v>行业标准</x:v>
      </x:c>
      <x:c r="P178" s="35" t="str">
        <x:v>现行版本（提交前建议再核验官方状态）</x:v>
      </x:c>
      <x:c r="Q178" s="35" t="str">
        <x:v>8.2.4</x:v>
      </x:c>
      <x:c r="R178" s="35" t="str">
        <x:v>8.2.4用于电梯井、钢结构和框架结构及构筑物封闭防护的平网，应符合下列规定：1平网每个系结点上的边绳应与支撑架靠紧，边绳的断裂张力不得小于7kN，系绳沿网边应均匀分布，间距不得大于750mm;2电梯井内平网网体与井壁的空隙不得大于25mm，安全网拉结应牢固。19</x:v>
      </x:c>
      <x:c r="S178" s="41" t="n">
        <x:v>25</x:v>
      </x:c>
      <x:c r="T178" s="44" t="n">
        <x:v>19</x:v>
      </x:c>
    </x:row>
    <x:row r="179" ht="56" customHeight="1">
      <x:c r="A179" s="40" t="str">
        <x:v>AQW-011</x:v>
      </x:c>
      <x:c r="B179" s="41" t="str">
        <x:v>启用</x:v>
      </x:c>
      <x:c r="C179" s="35" t="str">
        <x:v>建筑施工安全网</x:v>
      </x:c>
      <x:c r="D179" s="35" t="str">
        <x:v>安全网选用、搭设与验收</x:v>
      </x:c>
      <x:c r="E179" s="35" t="str">
        <x:v>选用、搭设或验收安全网时</x:v>
      </x:c>
      <x:c r="F179" s="35" t="str">
        <x:v>电梯井内平网网体与井壁的空隙不得大于25mm，安全网拉结应牢固</x:v>
      </x:c>
      <x:c r="G179" s="35" t="str">
        <x:v>25mm</x:v>
      </x:c>
      <x:c r="H179" s="41" t="str">
        <x:v>禁止/不得</x:v>
      </x:c>
      <x:c r="I179" s="35" t="str">
        <x:v>物体打击；高处坠落</x:v>
      </x:c>
      <x:c r="J179" s="41" t="str">
        <x:v>重大</x:v>
      </x:c>
      <x:c r="K179" s="35" t="str">
        <x:v>高处作业人员；安全员；施工员；班组长</x:v>
      </x:c>
      <x:c r="L179" s="35" t="str">
        <x:v>现场目视+尺寸/仪器测量</x:v>
      </x:c>
      <x:c r="M179" s="35" t="str">
        <x:v>建筑施工高处作业安全技术规范</x:v>
      </x:c>
      <x:c r="N179" s="35" t="str">
        <x:v>JGJ 80-2016</x:v>
      </x:c>
      <x:c r="O179" s="35" t="str">
        <x:v>行业标准</x:v>
      </x:c>
      <x:c r="P179" s="35" t="str">
        <x:v>现行版本（提交前建议再核验官方状态）</x:v>
      </x:c>
      <x:c r="Q179" s="35" t="str">
        <x:v>8.2.4</x:v>
      </x:c>
      <x:c r="R179" s="35" t="str">
        <x:v>8.2.4用于电梯井、钢结构和框架结构及构筑物封闭防护的平网，应符合下列规定：1平网每个系结点上的边绳应与支撑架靠紧，边绳的断裂张力不得小于7kN，系绳沿网边应均匀分布，间距不得大于750mm;2电梯井内平网网体与井壁的空隙不得大于25mm，安全网拉结应牢固。19</x:v>
      </x:c>
      <x:c r="S179" s="41" t="n">
        <x:v>25</x:v>
      </x:c>
      <x:c r="T179" s="44" t="n">
        <x:v>19</x:v>
      </x:c>
    </x:row>
    <x:row r="180" ht="56" customHeight="1">
      <x:c r="A180" s="40" t="str">
        <x:v>JSJ-001</x:v>
      </x:c>
      <x:c r="B180" s="41" t="str">
        <x:v>启用</x:v>
      </x:c>
      <x:c r="C180" s="35" t="str">
        <x:v>施工脚手架</x:v>
      </x:c>
      <x:c r="D180" s="35" t="str">
        <x:v>脚手架搭设、使用与拆除</x:v>
      </x:c>
      <x:c r="E180" s="35" t="str">
        <x:v>搭设、使用或拆除施工脚手架时</x:v>
      </x:c>
      <x:c r="F180" s="35" t="str">
        <x:v>脚手架搭设和拆除作业以前，应根据工程特点编制脚手架专项施工方案，并应经审批后实施</x:v>
      </x:c>
      <x:c r="G180" s="35" t="str">
        <x:v>无明确数值；按文本要求判断</x:v>
      </x:c>
      <x:c r="H180" s="41" t="str">
        <x:v>应执行</x:v>
      </x:c>
      <x:c r="I180" s="35" t="str">
        <x:v>脚手架坍塌；高处坠落；物体打击</x:v>
      </x:c>
      <x:c r="J180" s="41" t="str">
        <x:v>重大</x:v>
      </x:c>
      <x:c r="K180" s="35" t="str">
        <x:v>架子工；安全员；施工员；班组长</x:v>
      </x:c>
      <x:c r="L180" s="35" t="str">
        <x:v>文件核验</x:v>
      </x:c>
      <x:c r="M180" s="35" t="str">
        <x:v>施工脚手架通用规范</x:v>
      </x:c>
      <x:c r="N180" s="35" t="str">
        <x:v>GB 55023-2022</x:v>
      </x:c>
      <x:c r="O180" s="35" t="str">
        <x:v>全文强制性工程建设规范</x:v>
      </x:c>
      <x:c r="P180" s="35" t="str">
        <x:v>现行；与其他脚手架标准冲突时优先</x:v>
      </x:c>
      <x:c r="Q180" s="35" t="str">
        <x:v>2.0.3</x:v>
      </x:c>
      <x:c r="R180" s="35" t="str">
        <x:v>2.0.3脚手架搭设和拆除作业以前，应根据工程特点编制脚手架专项施工方案，并应经审批后实施。脚手架专项施工方案应包括下列主要内容：工程概况和编制依据；2脚手架类型选择；结构与构造设计施工图：结构设计计算书；搭设、拆除施工计划；搭设、拆除技术要求；8质量控制措施；9安全控制措施；10）应急预案</x:v>
      </x:c>
      <x:c r="S180" s="41" t="n">
        <x:v>5</x:v>
      </x:c>
      <x:c r="T180" s="44" t="n">
        <x:v>2</x:v>
      </x:c>
    </x:row>
    <x:row r="181" ht="56" customHeight="1">
      <x:c r="A181" s="40" t="str">
        <x:v>JSJ-002</x:v>
      </x:c>
      <x:c r="B181" s="41" t="str">
        <x:v>启用</x:v>
      </x:c>
      <x:c r="C181" s="35" t="str">
        <x:v>施工脚手架</x:v>
      </x:c>
      <x:c r="D181" s="35" t="str">
        <x:v>脚手架搭设、使用与拆除</x:v>
      </x:c>
      <x:c r="E181" s="35" t="str">
        <x:v>搭设、使用或拆除施工脚手架时</x:v>
      </x:c>
      <x:c r="F181" s="35" t="str">
        <x:v>脚手架搭设和拆除作业前，应将脚手架专项施工方案向施工现场管理人员及作业人员进行安全技术交底</x:v>
      </x:c>
      <x:c r="G181" s="35" t="str">
        <x:v>无明确数值；按文本要求判断</x:v>
      </x:c>
      <x:c r="H181" s="41" t="str">
        <x:v>应执行</x:v>
      </x:c>
      <x:c r="I181" s="35" t="str">
        <x:v>脚手架坍塌；高处坠落；物体打击</x:v>
      </x:c>
      <x:c r="J181" s="41" t="str">
        <x:v>重大</x:v>
      </x:c>
      <x:c r="K181" s="35" t="str">
        <x:v>架子工；安全员；施工员；班组长</x:v>
      </x:c>
      <x:c r="L181" s="35" t="str">
        <x:v>文件核验</x:v>
      </x:c>
      <x:c r="M181" s="35" t="str">
        <x:v>施工脚手架通用规范</x:v>
      </x:c>
      <x:c r="N181" s="35" t="str">
        <x:v>GB 55023-2022</x:v>
      </x:c>
      <x:c r="O181" s="35" t="str">
        <x:v>全文强制性工程建设规范</x:v>
      </x:c>
      <x:c r="P181" s="35" t="str">
        <x:v>现行；与其他脚手架标准冲突时优先</x:v>
      </x:c>
      <x:c r="Q181" s="35" t="str">
        <x:v>2.0.4</x:v>
      </x:c>
      <x:c r="R181" s="35" t="str">
        <x:v>2.0.4脚手架搭设和拆除作业前，应将脚手架专项施工方案向施工现场管理人员及作业人员进行安全技术交底</x:v>
      </x:c>
      <x:c r="S181" s="41" t="n">
        <x:v>5</x:v>
      </x:c>
      <x:c r="T181" s="44" t="n">
        <x:v>2</x:v>
      </x:c>
    </x:row>
    <x:row r="182" ht="56" customHeight="1">
      <x:c r="A182" s="40" t="str">
        <x:v>JSJ-003</x:v>
      </x:c>
      <x:c r="B182" s="41" t="str">
        <x:v>启用</x:v>
      </x:c>
      <x:c r="C182" s="35" t="str">
        <x:v>施工脚手架</x:v>
      </x:c>
      <x:c r="D182" s="35" t="str">
        <x:v>脚手架搭设、使用与拆除</x:v>
      </x:c>
      <x:c r="E182" s="35" t="str">
        <x:v>搭设、使用或拆除施工脚手架时</x:v>
      </x:c>
      <x:c r="F182" s="35" t="str">
        <x:v>搭设和拆除脚手架作业应有相应的安全措施，操作人员应佩戴个人防护用品，应穿防滑鞋</x:v>
      </x:c>
      <x:c r="G182" s="35" t="str">
        <x:v>无明确数值；按文本要求判断</x:v>
      </x:c>
      <x:c r="H182" s="41" t="str">
        <x:v>应执行</x:v>
      </x:c>
      <x:c r="I182" s="35" t="str">
        <x:v>脚手架坍塌；高处坠落；物体打击</x:v>
      </x:c>
      <x:c r="J182" s="41" t="str">
        <x:v>重大</x:v>
      </x:c>
      <x:c r="K182" s="35" t="str">
        <x:v>架子工；安全员；施工员；班组长</x:v>
      </x:c>
      <x:c r="L182" s="35" t="str">
        <x:v>现场目视或影像检查</x:v>
      </x:c>
      <x:c r="M182" s="35" t="str">
        <x:v>施工脚手架通用规范</x:v>
      </x:c>
      <x:c r="N182" s="35" t="str">
        <x:v>GB 55023-2022</x:v>
      </x:c>
      <x:c r="O182" s="35" t="str">
        <x:v>全文强制性工程建设规范</x:v>
      </x:c>
      <x:c r="P182" s="35" t="str">
        <x:v>现行；与其他脚手架标准冲突时优先</x:v>
      </x:c>
      <x:c r="Q182" s="35" t="str">
        <x:v>5.1.1</x:v>
      </x:c>
      <x:c r="R182" s="35" t="str">
        <x:v>5.1.1搭设和拆除脚手架作业应有相应的安全措施，操作人员应佩戴个人防护用品，应穿防滑鞋</x:v>
      </x:c>
      <x:c r="S182" s="41" t="n">
        <x:v>13</x:v>
      </x:c>
      <x:c r="T182" s="44" t="n">
        <x:v>10</x:v>
      </x:c>
    </x:row>
    <x:row r="183" ht="56" customHeight="1">
      <x:c r="A183" s="40" t="str">
        <x:v>JSJ-004</x:v>
      </x:c>
      <x:c r="B183" s="41" t="str">
        <x:v>启用</x:v>
      </x:c>
      <x:c r="C183" s="35" t="str">
        <x:v>施工脚手架</x:v>
      </x:c>
      <x:c r="D183" s="35" t="str">
        <x:v>脚手架搭设、使用与拆除</x:v>
      </x:c>
      <x:c r="E183" s="35" t="str">
        <x:v>在搭设和拆除脚手架作业时</x:v>
      </x:c>
      <x:c r="F183" s="35" t="str">
        <x:v>在搭设和拆除脚手架作业时，应设置安全警戒线、警戒标志，并应由专人监护，严禁非作业人员进入</x:v>
      </x:c>
      <x:c r="G183" s="35" t="str">
        <x:v>无明确数值；按文本要求判断</x:v>
      </x:c>
      <x:c r="H183" s="41" t="str">
        <x:v>禁止/不得</x:v>
      </x:c>
      <x:c r="I183" s="35" t="str">
        <x:v>脚手架坍塌；高处坠落；物体打击</x:v>
      </x:c>
      <x:c r="J183" s="41" t="str">
        <x:v>重大</x:v>
      </x:c>
      <x:c r="K183" s="35" t="str">
        <x:v>架子工；安全员；施工员；班组长</x:v>
      </x:c>
      <x:c r="L183" s="35" t="str">
        <x:v>现场目视或影像检查</x:v>
      </x:c>
      <x:c r="M183" s="35" t="str">
        <x:v>施工脚手架通用规范</x:v>
      </x:c>
      <x:c r="N183" s="35" t="str">
        <x:v>GB 55023-2022</x:v>
      </x:c>
      <x:c r="O183" s="35" t="str">
        <x:v>全文强制性工程建设规范</x:v>
      </x:c>
      <x:c r="P183" s="35" t="str">
        <x:v>现行；与其他脚手架标准冲突时优先</x:v>
      </x:c>
      <x:c r="Q183" s="35" t="str">
        <x:v>5.1.2</x:v>
      </x:c>
      <x:c r="R183" s="35" t="str">
        <x:v>5.1.2在搭设和拆除脚手架作业时，应设置安全警戒线、警戒标志，并应由专人监护，严禁非作业人员进入</x:v>
      </x:c>
      <x:c r="S183" s="41" t="n">
        <x:v>13</x:v>
      </x:c>
      <x:c r="T183" s="44" t="n">
        <x:v>10</x:v>
      </x:c>
    </x:row>
    <x:row r="184" ht="56" customHeight="1">
      <x:c r="A184" s="40" t="str">
        <x:v>JSJ-005</x:v>
      </x:c>
      <x:c r="B184" s="41" t="str">
        <x:v>启用</x:v>
      </x:c>
      <x:c r="C184" s="35" t="str">
        <x:v>施工脚手架</x:v>
      </x:c>
      <x:c r="D184" s="35" t="str">
        <x:v>脚手架搭设、使用与拆除</x:v>
      </x:c>
      <x:c r="E184" s="35" t="str">
        <x:v>搭设、使用或拆除施工脚手架时</x:v>
      </x:c>
      <x:c r="F184" s="35" t="str">
        <x:v>脚手架应按顺序搭设，并应符合下列规定：落地作业脚手架、悬挑脚手架的搭设应与主体结构工程施工同步，一次搭设高度不应超过最上层连墙件2步，且自由高度不应大于4m</x:v>
      </x:c>
      <x:c r="G184" s="35" t="str">
        <x:v>2步；4m</x:v>
      </x:c>
      <x:c r="H184" s="41" t="str">
        <x:v>禁止/不得</x:v>
      </x:c>
      <x:c r="I184" s="35" t="str">
        <x:v>脚手架坍塌；高处坠落；物体打击</x:v>
      </x:c>
      <x:c r="J184" s="41" t="str">
        <x:v>重大</x:v>
      </x:c>
      <x:c r="K184" s="35" t="str">
        <x:v>架子工；安全员；施工员；班组长</x:v>
      </x:c>
      <x:c r="L184" s="35" t="str">
        <x:v>现场目视+尺寸/仪器测量</x:v>
      </x:c>
      <x:c r="M184" s="35" t="str">
        <x:v>施工脚手架通用规范</x:v>
      </x:c>
      <x:c r="N184" s="35" t="str">
        <x:v>GB 55023-2022</x:v>
      </x:c>
      <x:c r="O184" s="35" t="str">
        <x:v>全文强制性工程建设规范</x:v>
      </x:c>
      <x:c r="P184" s="35" t="str">
        <x:v>现行；与其他脚手架标准冲突时优先</x:v>
      </x:c>
      <x:c r="Q184" s="35" t="str">
        <x:v>5.2.1</x:v>
      </x:c>
      <x:c r="R184" s="35" t="str">
        <x:v>5.2.1脚手架应按顺序搭设，并应符合下列规定：落地作业脚手架、悬挑脚手架的搭设应与主体结构工程施工同步，一次搭设高度不应超过最上层连墙件2步，且自由高度不应大于4m；2剪刀撑、斜撑杆等加固杆件应随架体同步搭设；3构件组装类脚手架的搭设应自一端向另一端延伸，应自下而上按步逐层搭设；并应逐层改变搭设方向；4每搭设完一步距架体后，应及时校正立杆间距、步距、垂直度及水平杆的水平度</x:v>
      </x:c>
      <x:c r="S184" s="41" t="n">
        <x:v>13</x:v>
      </x:c>
      <x:c r="T184" s="44" t="n">
        <x:v>10</x:v>
      </x:c>
    </x:row>
    <x:row r="185" ht="56" customHeight="1">
      <x:c r="A185" s="40" t="str">
        <x:v>JSJ-006</x:v>
      </x:c>
      <x:c r="B185" s="41" t="str">
        <x:v>启用</x:v>
      </x:c>
      <x:c r="C185" s="35" t="str">
        <x:v>施工脚手架</x:v>
      </x:c>
      <x:c r="D185" s="35" t="str">
        <x:v>脚手架搭设、使用与拆除</x:v>
      </x:c>
      <x:c r="E185" s="35" t="str">
        <x:v>搭设、使用或拆除施工脚手架时</x:v>
      </x:c>
      <x:c r="F185" s="35" t="str">
        <x:v>剪刀撑、斜撑杆等加固杆件应随架体同步搭设</x:v>
      </x:c>
      <x:c r="G185" s="35" t="str">
        <x:v>无明确数值；按文本要求判断</x:v>
      </x:c>
      <x:c r="H185" s="41" t="str">
        <x:v>应执行</x:v>
      </x:c>
      <x:c r="I185" s="35" t="str">
        <x:v>脚手架坍塌；高处坠落；物体打击</x:v>
      </x:c>
      <x:c r="J185" s="41" t="str">
        <x:v>重大</x:v>
      </x:c>
      <x:c r="K185" s="35" t="str">
        <x:v>架子工；安全员；施工员；班组长</x:v>
      </x:c>
      <x:c r="L185" s="35" t="str">
        <x:v>现场检查+人工确认</x:v>
      </x:c>
      <x:c r="M185" s="35" t="str">
        <x:v>施工脚手架通用规范</x:v>
      </x:c>
      <x:c r="N185" s="35" t="str">
        <x:v>GB 55023-2022</x:v>
      </x:c>
      <x:c r="O185" s="35" t="str">
        <x:v>全文强制性工程建设规范</x:v>
      </x:c>
      <x:c r="P185" s="35" t="str">
        <x:v>现行；与其他脚手架标准冲突时优先</x:v>
      </x:c>
      <x:c r="Q185" s="35" t="str">
        <x:v>5.2.1</x:v>
      </x:c>
      <x:c r="R185" s="35" t="str">
        <x:v>5.2.1脚手架应按顺序搭设，并应符合下列规定：落地作业脚手架、悬挑脚手架的搭设应与主体结构工程施工同步，一次搭设高度不应超过最上层连墙件2步，且自由高度不应大于4m；2剪刀撑、斜撑杆等加固杆件应随架体同步搭设；3构件组装类脚手架的搭设应自一端向另一端延伸，应自下而上按步逐层搭设；并应逐层改变搭设方向；4每搭设完一步距架体后，应及时校正立杆间距、步距、垂直度及水平杆的水平度</x:v>
      </x:c>
      <x:c r="S185" s="41" t="n">
        <x:v>13</x:v>
      </x:c>
      <x:c r="T185" s="44" t="n">
        <x:v>10</x:v>
      </x:c>
    </x:row>
    <x:row r="186" ht="56" customHeight="1">
      <x:c r="A186" s="40" t="str">
        <x:v>JSJ-007</x:v>
      </x:c>
      <x:c r="B186" s="41" t="str">
        <x:v>启用</x:v>
      </x:c>
      <x:c r="C186" s="35" t="str">
        <x:v>施工脚手架</x:v>
      </x:c>
      <x:c r="D186" s="35" t="str">
        <x:v>脚手架搭设、使用与拆除</x:v>
      </x:c>
      <x:c r="E186" s="35" t="str">
        <x:v>搭设、使用或拆除施工脚手架时</x:v>
      </x:c>
      <x:c r="F186" s="35" t="str">
        <x:v>作业脚手架连墙件安装应符合下列规定：连墙件的安装应随作业脚手架搭设同步进行</x:v>
      </x:c>
      <x:c r="G186" s="35" t="str">
        <x:v>无明确数值；按文本要求判断</x:v>
      </x:c>
      <x:c r="H186" s="41" t="str">
        <x:v>应执行</x:v>
      </x:c>
      <x:c r="I186" s="35" t="str">
        <x:v>脚手架坍塌；高处坠落；物体打击</x:v>
      </x:c>
      <x:c r="J186" s="41" t="str">
        <x:v>重大</x:v>
      </x:c>
      <x:c r="K186" s="35" t="str">
        <x:v>架子工；安全员；施工员；班组长</x:v>
      </x:c>
      <x:c r="L186" s="35" t="str">
        <x:v>现场检查+人工确认</x:v>
      </x:c>
      <x:c r="M186" s="35" t="str">
        <x:v>施工脚手架通用规范</x:v>
      </x:c>
      <x:c r="N186" s="35" t="str">
        <x:v>GB 55023-2022</x:v>
      </x:c>
      <x:c r="O186" s="35" t="str">
        <x:v>全文强制性工程建设规范</x:v>
      </x:c>
      <x:c r="P186" s="35" t="str">
        <x:v>现行；与其他脚手架标准冲突时优先</x:v>
      </x:c>
      <x:c r="Q186" s="35" t="str">
        <x:v>5.2.2</x:v>
      </x:c>
      <x:c r="R186" s="35" t="str">
        <x:v>5.2.2作业脚手架连墙件安装应符合下列规定：连墙件的安装应随作业脚手架搭设同步进行；当作业脚手架操作层高出相邻连墙件2个步距及以上时，在上层连墙件安装完毕前，应采取临时拉结措施</x:v>
      </x:c>
      <x:c r="S186" s="41" t="n">
        <x:v>13</x:v>
      </x:c>
      <x:c r="T186" s="44" t="n">
        <x:v>10</x:v>
      </x:c>
    </x:row>
    <x:row r="187" ht="56" customHeight="1">
      <x:c r="A187" s="40" t="str">
        <x:v>JSJ-008</x:v>
      </x:c>
      <x:c r="B187" s="41" t="str">
        <x:v>启用</x:v>
      </x:c>
      <x:c r="C187" s="35" t="str">
        <x:v>施工脚手架</x:v>
      </x:c>
      <x:c r="D187" s="35" t="str">
        <x:v>脚手架搭设、使用与拆除</x:v>
      </x:c>
      <x:c r="E187" s="35" t="str">
        <x:v>当作业脚手架操作层高出相邻连墙件2个步距及以上时</x:v>
      </x:c>
      <x:c r="F187" s="35" t="str">
        <x:v>当作业脚手架操作层高出相邻连墙件2个步距及以上时，在上层连墙件安装完毕前，应采取临时拉结措施</x:v>
      </x:c>
      <x:c r="G187" s="35" t="str">
        <x:v>无明确数值；按文本要求判断</x:v>
      </x:c>
      <x:c r="H187" s="41" t="str">
        <x:v>应执行</x:v>
      </x:c>
      <x:c r="I187" s="35" t="str">
        <x:v>脚手架坍塌；高处坠落；物体打击</x:v>
      </x:c>
      <x:c r="J187" s="41" t="str">
        <x:v>重大</x:v>
      </x:c>
      <x:c r="K187" s="35" t="str">
        <x:v>架子工；安全员；施工员；班组长</x:v>
      </x:c>
      <x:c r="L187" s="35" t="str">
        <x:v>现场目视+尺寸/仪器测量</x:v>
      </x:c>
      <x:c r="M187" s="35" t="str">
        <x:v>施工脚手架通用规范</x:v>
      </x:c>
      <x:c r="N187" s="35" t="str">
        <x:v>GB 55023-2022</x:v>
      </x:c>
      <x:c r="O187" s="35" t="str">
        <x:v>全文强制性工程建设规范</x:v>
      </x:c>
      <x:c r="P187" s="35" t="str">
        <x:v>现行；与其他脚手架标准冲突时优先</x:v>
      </x:c>
      <x:c r="Q187" s="35" t="str">
        <x:v>5.2.2</x:v>
      </x:c>
      <x:c r="R187" s="35" t="str">
        <x:v>5.2.2作业脚手架连墙件安装应符合下列规定：连墙件的安装应随作业脚手架搭设同步进行；当作业脚手架操作层高出相邻连墙件2个步距及以上时，在上层连墙件安装完毕前，应采取临时拉结措施</x:v>
      </x:c>
      <x:c r="S187" s="41" t="n">
        <x:v>13</x:v>
      </x:c>
      <x:c r="T187" s="44" t="n">
        <x:v>10</x:v>
      </x:c>
    </x:row>
    <x:row r="188" ht="56" customHeight="1">
      <x:c r="A188" s="40" t="str">
        <x:v>JSJ-009</x:v>
      </x:c>
      <x:c r="B188" s="41" t="str">
        <x:v>启用</x:v>
      </x:c>
      <x:c r="C188" s="35" t="str">
        <x:v>施工脚手架</x:v>
      </x:c>
      <x:c r="D188" s="35" t="str">
        <x:v>脚手架搭设、使用与拆除</x:v>
      </x:c>
      <x:c r="E188" s="35" t="str">
        <x:v>搭设、使用或拆除施工脚手架时</x:v>
      </x:c>
      <x:c r="F188" s="35" t="str">
        <x:v>脚手架安全防护网和防护栏杆等防护设施应随架体搭设同步安装到位</x:v>
      </x:c>
      <x:c r="G188" s="35" t="str">
        <x:v>无明确数值；按文本要求判断</x:v>
      </x:c>
      <x:c r="H188" s="41" t="str">
        <x:v>应执行</x:v>
      </x:c>
      <x:c r="I188" s="35" t="str">
        <x:v>脚手架坍塌；高处坠落；物体打击</x:v>
      </x:c>
      <x:c r="J188" s="41" t="str">
        <x:v>重大</x:v>
      </x:c>
      <x:c r="K188" s="35" t="str">
        <x:v>架子工；安全员；施工员；班组长</x:v>
      </x:c>
      <x:c r="L188" s="35" t="str">
        <x:v>现场目视或影像检查</x:v>
      </x:c>
      <x:c r="M188" s="35" t="str">
        <x:v>施工脚手架通用规范</x:v>
      </x:c>
      <x:c r="N188" s="35" t="str">
        <x:v>GB 55023-2022</x:v>
      </x:c>
      <x:c r="O188" s="35" t="str">
        <x:v>全文强制性工程建设规范</x:v>
      </x:c>
      <x:c r="P188" s="35" t="str">
        <x:v>现行；与其他脚手架标准冲突时优先</x:v>
      </x:c>
      <x:c r="Q188" s="35" t="str">
        <x:v>5.2.4</x:v>
      </x:c>
      <x:c r="R188" s="35" t="str">
        <x:v>5.2.4脚手架安全防护网和防护栏杆等防护设施应随架体搭设同步安装到位</x:v>
      </x:c>
      <x:c r="S188" s="41" t="n">
        <x:v>14</x:v>
      </x:c>
      <x:c r="T188" s="44" t="n">
        <x:v>11</x:v>
      </x:c>
    </x:row>
    <x:row r="189" ht="56" customHeight="1">
      <x:c r="A189" s="40" t="str">
        <x:v>JSJ-010</x:v>
      </x:c>
      <x:c r="B189" s="41" t="str">
        <x:v>启用</x:v>
      </x:c>
      <x:c r="C189" s="35" t="str">
        <x:v>施工脚手架</x:v>
      </x:c>
      <x:c r="D189" s="35" t="str">
        <x:v>脚手架搭设、使用与拆除</x:v>
      </x:c>
      <x:c r="E189" s="35" t="str">
        <x:v>搭设、使用或拆除施工脚手架时</x:v>
      </x:c>
      <x:c r="F189" s="35" t="str">
        <x:v>脚手架作业层上的荷载不得超过荷载设计值</x:v>
      </x:c>
      <x:c r="G189" s="35" t="str">
        <x:v>无明确数值；按文本要求判断</x:v>
      </x:c>
      <x:c r="H189" s="41" t="str">
        <x:v>禁止/不得</x:v>
      </x:c>
      <x:c r="I189" s="35" t="str">
        <x:v>脚手架坍塌；高处坠落；物体打击</x:v>
      </x:c>
      <x:c r="J189" s="41" t="str">
        <x:v>重大</x:v>
      </x:c>
      <x:c r="K189" s="35" t="str">
        <x:v>技术负责人；方案编制人员；项目负责人；安全员</x:v>
      </x:c>
      <x:c r="L189" s="35" t="str">
        <x:v>现场检查+人工确认</x:v>
      </x:c>
      <x:c r="M189" s="35" t="str">
        <x:v>施工脚手架通用规范</x:v>
      </x:c>
      <x:c r="N189" s="35" t="str">
        <x:v>GB 55023-2022</x:v>
      </x:c>
      <x:c r="O189" s="35" t="str">
        <x:v>全文强制性工程建设规范</x:v>
      </x:c>
      <x:c r="P189" s="35" t="str">
        <x:v>现行；与其他脚手架标准冲突时优先</x:v>
      </x:c>
      <x:c r="Q189" s="35" t="str">
        <x:v>5.3.1</x:v>
      </x:c>
      <x:c r="R189" s="35" t="str">
        <x:v>5.3.1脚手架作业层上的荷载不得超过荷载设计值</x:v>
      </x:c>
      <x:c r="S189" s="41" t="n">
        <x:v>14</x:v>
      </x:c>
      <x:c r="T189" s="44" t="n">
        <x:v>11</x:v>
      </x:c>
    </x:row>
    <x:row r="190" ht="56" customHeight="1">
      <x:c r="A190" s="40" t="str">
        <x:v>JSJ-011</x:v>
      </x:c>
      <x:c r="B190" s="41" t="str">
        <x:v>启用</x:v>
      </x:c>
      <x:c r="C190" s="35" t="str">
        <x:v>施工脚手架</x:v>
      </x:c>
      <x:c r="D190" s="35" t="str">
        <x:v>脚手架搭设、使用与拆除</x:v>
      </x:c>
      <x:c r="E190" s="35" t="str">
        <x:v>搭设、使用或拆除施工脚手架时</x:v>
      </x:c>
      <x:c r="F190" s="35" t="str">
        <x:v>雷雨天气、6级及以上大风天气应停止架上作业</x:v>
      </x:c>
      <x:c r="G190" s="35" t="str">
        <x:v>6级</x:v>
      </x:c>
      <x:c r="H190" s="41" t="str">
        <x:v>应执行</x:v>
      </x:c>
      <x:c r="I190" s="35" t="str">
        <x:v>脚手架坍塌；高处坠落；物体打击</x:v>
      </x:c>
      <x:c r="J190" s="41" t="str">
        <x:v>重大</x:v>
      </x:c>
      <x:c r="K190" s="35" t="str">
        <x:v>架子工；安全员；施工员；班组长</x:v>
      </x:c>
      <x:c r="L190" s="35" t="str">
        <x:v>现场目视+尺寸/仪器测量</x:v>
      </x:c>
      <x:c r="M190" s="35" t="str">
        <x:v>施工脚手架通用规范</x:v>
      </x:c>
      <x:c r="N190" s="35" t="str">
        <x:v>GB 55023-2022</x:v>
      </x:c>
      <x:c r="O190" s="35" t="str">
        <x:v>全文强制性工程建设规范</x:v>
      </x:c>
      <x:c r="P190" s="35" t="str">
        <x:v>现行；与其他脚手架标准冲突时优先</x:v>
      </x:c>
      <x:c r="Q190" s="35" t="str">
        <x:v>5.3.2</x:v>
      </x:c>
      <x:c r="R190" s="35" t="str">
        <x:v>5.3.2雷雨天气、6级及以上大风天气应停止架上作业；雨、雪、雾天气应停止脚手架的搭设和拆除作业，雨、雪、霜后上架作业应采取有效的防滑措施，雪天应清除积雪</x:v>
      </x:c>
      <x:c r="S190" s="41" t="n">
        <x:v>14</x:v>
      </x:c>
      <x:c r="T190" s="44" t="n">
        <x:v>11</x:v>
      </x:c>
    </x:row>
    <x:row r="191" ht="56" customHeight="1">
      <x:c r="A191" s="40" t="str">
        <x:v>JSJ-012</x:v>
      </x:c>
      <x:c r="B191" s="41" t="str">
        <x:v>启用</x:v>
      </x:c>
      <x:c r="C191" s="35" t="str">
        <x:v>施工脚手架</x:v>
      </x:c>
      <x:c r="D191" s="35" t="str">
        <x:v>脚手架搭设、使用与拆除</x:v>
      </x:c>
      <x:c r="E191" s="35" t="str">
        <x:v>搭设、使用或拆除施工脚手架时</x:v>
      </x:c>
      <x:c r="F191" s="35" t="str">
        <x:v>雨、雪、雾天气应停止脚手架的搭设和拆除作业，雨、雪、霜后上架作业应采取有效的防滑措施，雪天应清除积雪</x:v>
      </x:c>
      <x:c r="G191" s="35" t="str">
        <x:v>无明确数值；按文本要求判断</x:v>
      </x:c>
      <x:c r="H191" s="41" t="str">
        <x:v>应执行</x:v>
      </x:c>
      <x:c r="I191" s="35" t="str">
        <x:v>脚手架坍塌；高处坠落；物体打击</x:v>
      </x:c>
      <x:c r="J191" s="41" t="str">
        <x:v>重大</x:v>
      </x:c>
      <x:c r="K191" s="35" t="str">
        <x:v>架子工；安全员；施工员；班组长</x:v>
      </x:c>
      <x:c r="L191" s="35" t="str">
        <x:v>现场检查+人工确认</x:v>
      </x:c>
      <x:c r="M191" s="35" t="str">
        <x:v>施工脚手架通用规范</x:v>
      </x:c>
      <x:c r="N191" s="35" t="str">
        <x:v>GB 55023-2022</x:v>
      </x:c>
      <x:c r="O191" s="35" t="str">
        <x:v>全文强制性工程建设规范</x:v>
      </x:c>
      <x:c r="P191" s="35" t="str">
        <x:v>现行；与其他脚手架标准冲突时优先</x:v>
      </x:c>
      <x:c r="Q191" s="35" t="str">
        <x:v>5.3.2</x:v>
      </x:c>
      <x:c r="R191" s="35" t="str">
        <x:v>5.3.2雷雨天气、6级及以上大风天气应停止架上作业；雨、雪、雾天气应停止脚手架的搭设和拆除作业，雨、雪、霜后上架作业应采取有效的防滑措施，雪天应清除积雪</x:v>
      </x:c>
      <x:c r="S191" s="41" t="n">
        <x:v>14</x:v>
      </x:c>
      <x:c r="T191" s="44" t="n">
        <x:v>11</x:v>
      </x:c>
    </x:row>
    <x:row r="192" ht="56" customHeight="1">
      <x:c r="A192" s="40" t="str">
        <x:v>JSJ-013</x:v>
      </x:c>
      <x:c r="B192" s="41" t="str">
        <x:v>启用</x:v>
      </x:c>
      <x:c r="C192" s="35" t="str">
        <x:v>施工脚手架</x:v>
      </x:c>
      <x:c r="D192" s="35" t="str">
        <x:v>脚手架搭设、使用与拆除</x:v>
      </x:c>
      <x:c r="E192" s="35" t="str">
        <x:v>搭设、使用或拆除施工脚手架时</x:v>
      </x:c>
      <x:c r="F192" s="35" t="str">
        <x:v>严禁将支撑脚手架、缆风绳、混凝土输送泵管、卸料平台及大型设备的支承件等固定在作业脚手架上</x:v>
      </x:c>
      <x:c r="G192" s="35" t="str">
        <x:v>无明确数值；按文本要求判断</x:v>
      </x:c>
      <x:c r="H192" s="41" t="str">
        <x:v>禁止/不得</x:v>
      </x:c>
      <x:c r="I192" s="35" t="str">
        <x:v>脚手架坍塌；高处坠落；物体打击</x:v>
      </x:c>
      <x:c r="J192" s="41" t="str">
        <x:v>重大</x:v>
      </x:c>
      <x:c r="K192" s="35" t="str">
        <x:v>架子工；安全员；施工员；班组长</x:v>
      </x:c>
      <x:c r="L192" s="35" t="str">
        <x:v>现场检查+人工确认</x:v>
      </x:c>
      <x:c r="M192" s="35" t="str">
        <x:v>施工脚手架通用规范</x:v>
      </x:c>
      <x:c r="N192" s="35" t="str">
        <x:v>GB 55023-2022</x:v>
      </x:c>
      <x:c r="O192" s="35" t="str">
        <x:v>全文强制性工程建设规范</x:v>
      </x:c>
      <x:c r="P192" s="35" t="str">
        <x:v>现行；与其他脚手架标准冲突时优先</x:v>
      </x:c>
      <x:c r="Q192" s="35" t="str">
        <x:v>5.3.3</x:v>
      </x:c>
      <x:c r="R192" s="35" t="str">
        <x:v>5.3.3严禁将支撑脚手架、缆风绳、混凝土输送泵管、卸料平台及大型设备的支承件等固定在作业脚手架上。严禁在作业脚手架上悬挂起重设备</x:v>
      </x:c>
      <x:c r="S192" s="41" t="n">
        <x:v>14</x:v>
      </x:c>
      <x:c r="T192" s="44" t="n">
        <x:v>11</x:v>
      </x:c>
    </x:row>
    <x:row r="193" ht="56" customHeight="1">
      <x:c r="A193" s="40" t="str">
        <x:v>JSJ-014</x:v>
      </x:c>
      <x:c r="B193" s="41" t="str">
        <x:v>启用</x:v>
      </x:c>
      <x:c r="C193" s="35" t="str">
        <x:v>施工脚手架</x:v>
      </x:c>
      <x:c r="D193" s="35" t="str">
        <x:v>脚手架搭设、使用与拆除</x:v>
      </x:c>
      <x:c r="E193" s="35" t="str">
        <x:v>搭设、使用或拆除施工脚手架时</x:v>
      </x:c>
      <x:c r="F193" s="35" t="str">
        <x:v>严禁在作业脚手架上悬挂起重设备</x:v>
      </x:c>
      <x:c r="G193" s="35" t="str">
        <x:v>无明确数值；按文本要求判断</x:v>
      </x:c>
      <x:c r="H193" s="41" t="str">
        <x:v>禁止/不得</x:v>
      </x:c>
      <x:c r="I193" s="35" t="str">
        <x:v>脚手架坍塌；高处坠落；物体打击</x:v>
      </x:c>
      <x:c r="J193" s="41" t="str">
        <x:v>重大</x:v>
      </x:c>
      <x:c r="K193" s="35" t="str">
        <x:v>架子工；安全员；施工员；班组长</x:v>
      </x:c>
      <x:c r="L193" s="35" t="str">
        <x:v>现场检查+人工确认</x:v>
      </x:c>
      <x:c r="M193" s="35" t="str">
        <x:v>施工脚手架通用规范</x:v>
      </x:c>
      <x:c r="N193" s="35" t="str">
        <x:v>GB 55023-2022</x:v>
      </x:c>
      <x:c r="O193" s="35" t="str">
        <x:v>全文强制性工程建设规范</x:v>
      </x:c>
      <x:c r="P193" s="35" t="str">
        <x:v>现行；与其他脚手架标准冲突时优先</x:v>
      </x:c>
      <x:c r="Q193" s="35" t="str">
        <x:v>5.3.3</x:v>
      </x:c>
      <x:c r="R193" s="35" t="str">
        <x:v>5.3.3严禁将支撑脚手架、缆风绳、混凝土输送泵管、卸料平台及大型设备的支承件等固定在作业脚手架上。严禁在作业脚手架上悬挂起重设备</x:v>
      </x:c>
      <x:c r="S193" s="41" t="n">
        <x:v>14</x:v>
      </x:c>
      <x:c r="T193" s="44" t="n">
        <x:v>11</x:v>
      </x:c>
    </x:row>
    <x:row r="194" ht="56" customHeight="1">
      <x:c r="A194" s="40" t="str">
        <x:v>JSJ-015</x:v>
      </x:c>
      <x:c r="B194" s="41" t="str">
        <x:v>启用</x:v>
      </x:c>
      <x:c r="C194" s="35" t="str">
        <x:v>施工脚手架</x:v>
      </x:c>
      <x:c r="D194" s="35" t="str">
        <x:v>脚手架搭设、使用与拆除</x:v>
      </x:c>
      <x:c r="E194" s="35" t="str">
        <x:v>搭设、使用或拆除施工脚手架时</x:v>
      </x:c>
      <x:c r="F194" s="35" t="str">
        <x:v>支撑脚手架在浇筑混凝土、工程结构件安装等施加荷载的过程中，架体下严禁有人</x:v>
      </x:c>
      <x:c r="G194" s="35" t="str">
        <x:v>无明确数值；按文本要求判断</x:v>
      </x:c>
      <x:c r="H194" s="41" t="str">
        <x:v>禁止/不得</x:v>
      </x:c>
      <x:c r="I194" s="35" t="str">
        <x:v>脚手架坍塌；高处坠落；物体打击</x:v>
      </x:c>
      <x:c r="J194" s="41" t="str">
        <x:v>重大</x:v>
      </x:c>
      <x:c r="K194" s="35" t="str">
        <x:v>架子工；安全员；施工员；班组长</x:v>
      </x:c>
      <x:c r="L194" s="35" t="str">
        <x:v>现场检查+人工确认</x:v>
      </x:c>
      <x:c r="M194" s="35" t="str">
        <x:v>施工脚手架通用规范</x:v>
      </x:c>
      <x:c r="N194" s="35" t="str">
        <x:v>GB 55023-2022</x:v>
      </x:c>
      <x:c r="O194" s="35" t="str">
        <x:v>全文强制性工程建设规范</x:v>
      </x:c>
      <x:c r="P194" s="35" t="str">
        <x:v>现行；与其他脚手架标准冲突时优先</x:v>
      </x:c>
      <x:c r="Q194" s="35" t="str">
        <x:v>5.3.7</x:v>
      </x:c>
      <x:c r="R194" s="35" t="str">
        <x:v>5.3.7支撑脚手架在浇筑混凝土、工程结构件安装等施加荷载的过程中，架体下严禁有人</x:v>
      </x:c>
      <x:c r="S194" s="41" t="n">
        <x:v>15</x:v>
      </x:c>
      <x:c r="T194" s="44" t="n">
        <x:v>12</x:v>
      </x:c>
    </x:row>
    <x:row r="195" ht="56" customHeight="1">
      <x:c r="A195" s="40" t="str">
        <x:v>JSJ-016</x:v>
      </x:c>
      <x:c r="B195" s="41" t="str">
        <x:v>启用</x:v>
      </x:c>
      <x:c r="C195" s="35" t="str">
        <x:v>施工脚手架</x:v>
      </x:c>
      <x:c r="D195" s="35" t="str">
        <x:v>脚手架搭设、使用与拆除</x:v>
      </x:c>
      <x:c r="E195" s="35" t="str">
        <x:v>在脚手架内进行电焊、气焊和其他动火作业时</x:v>
      </x:c>
      <x:c r="F195" s="35" t="str">
        <x:v>在脚手架内进行电焊、气焊和其他动火作业时，应在动火申请批准后进行作业，并应采取设置接火斗、配置灭火器、移开易燃物等防火措施，同时应设专人监护</x:v>
      </x:c>
      <x:c r="G195" s="35" t="str">
        <x:v>无明确数值；按文本要求判断</x:v>
      </x:c>
      <x:c r="H195" s="41" t="str">
        <x:v>应执行</x:v>
      </x:c>
      <x:c r="I195" s="35" t="str">
        <x:v>脚手架坍塌；高处坠落；物体打击</x:v>
      </x:c>
      <x:c r="J195" s="41" t="str">
        <x:v>重大</x:v>
      </x:c>
      <x:c r="K195" s="35" t="str">
        <x:v>架子工；安全员；施工员；班组长</x:v>
      </x:c>
      <x:c r="L195" s="35" t="str">
        <x:v>现场目视或影像检查</x:v>
      </x:c>
      <x:c r="M195" s="35" t="str">
        <x:v>施工脚手架通用规范</x:v>
      </x:c>
      <x:c r="N195" s="35" t="str">
        <x:v>GB 55023-2022</x:v>
      </x:c>
      <x:c r="O195" s="35" t="str">
        <x:v>全文强制性工程建设规范</x:v>
      </x:c>
      <x:c r="P195" s="35" t="str">
        <x:v>现行；与其他脚手架标准冲突时优先</x:v>
      </x:c>
      <x:c r="Q195" s="35" t="str">
        <x:v>5.3.8</x:v>
      </x:c>
      <x:c r="R195" s="35" t="str">
        <x:v>5.3.8在脚手架内进行电焊、气焊和其他动火作业时，应在动火申请批准后进行作业，并应采取设置接火斗、配置灭火器、移开易燃物等防火措施，同时应设专人监护</x:v>
      </x:c>
      <x:c r="S195" s="41" t="n">
        <x:v>15</x:v>
      </x:c>
      <x:c r="T195" s="44" t="n">
        <x:v>12</x:v>
      </x:c>
    </x:row>
    <x:row r="196" ht="56" customHeight="1">
      <x:c r="A196" s="40" t="str">
        <x:v>JSJ-017</x:v>
      </x:c>
      <x:c r="B196" s="41" t="str">
        <x:v>启用</x:v>
      </x:c>
      <x:c r="C196" s="35" t="str">
        <x:v>施工脚手架</x:v>
      </x:c>
      <x:c r="D196" s="35" t="str">
        <x:v>脚手架搭设、使用与拆除</x:v>
      </x:c>
      <x:c r="E196" s="35" t="str">
        <x:v>当附着式升降脚手架在升降作业时或外挂防护架在提升作业时</x:v>
      </x:c>
      <x:c r="F196" s="35" t="str">
        <x:v>当附着式升降脚手架在升降作业时或外挂防护架在提升作业时，架体上严禁有人，架体下方不得进行交叉作业</x:v>
      </x:c>
      <x:c r="G196" s="35" t="str">
        <x:v>无明确数值；按文本要求判断</x:v>
      </x:c>
      <x:c r="H196" s="41" t="str">
        <x:v>禁止/不得</x:v>
      </x:c>
      <x:c r="I196" s="35" t="str">
        <x:v>脚手架坍塌；高处坠落；物体打击</x:v>
      </x:c>
      <x:c r="J196" s="41" t="str">
        <x:v>重大</x:v>
      </x:c>
      <x:c r="K196" s="35" t="str">
        <x:v>架子工；安全员；施工员；班组长</x:v>
      </x:c>
      <x:c r="L196" s="35" t="str">
        <x:v>现场检查+人工确认</x:v>
      </x:c>
      <x:c r="M196" s="35" t="str">
        <x:v>施工脚手架通用规范</x:v>
      </x:c>
      <x:c r="N196" s="35" t="str">
        <x:v>GB 55023-2022</x:v>
      </x:c>
      <x:c r="O196" s="35" t="str">
        <x:v>全文强制性工程建设规范</x:v>
      </x:c>
      <x:c r="P196" s="35" t="str">
        <x:v>现行；与其他脚手架标准冲突时优先</x:v>
      </x:c>
      <x:c r="Q196" s="35" t="str">
        <x:v>5.3.11</x:v>
      </x:c>
      <x:c r="R196" s="35" t="str">
        <x:v>5.3.11当附着式升降脚手架在升降作业时或外挂防护架在提升作业时，架体上严禁有人，架体下方不得进行交叉作业</x:v>
      </x:c>
      <x:c r="S196" s="41" t="n">
        <x:v>15</x:v>
      </x:c>
      <x:c r="T196" s="44" t="n">
        <x:v>12</x:v>
      </x:c>
    </x:row>
    <x:row r="197" ht="56" customHeight="1">
      <x:c r="A197" s="40" t="str">
        <x:v>JSJ-018</x:v>
      </x:c>
      <x:c r="B197" s="41" t="str">
        <x:v>启用</x:v>
      </x:c>
      <x:c r="C197" s="35" t="str">
        <x:v>施工脚手架</x:v>
      </x:c>
      <x:c r="D197" s="35" t="str">
        <x:v>脚手架搭设、使用与拆除</x:v>
      </x:c>
      <x:c r="E197" s="35" t="str">
        <x:v>搭设、使用或拆除施工脚手架时</x:v>
      </x:c>
      <x:c r="F197" s="35" t="str">
        <x:v>架体拆除应按自上而下的顺序按步逐层进行，不应上下同时作业</x:v>
      </x:c>
      <x:c r="G197" s="35" t="str">
        <x:v>无明确数值；按文本要求判断</x:v>
      </x:c>
      <x:c r="H197" s="41" t="str">
        <x:v>禁止/不得</x:v>
      </x:c>
      <x:c r="I197" s="35" t="str">
        <x:v>脚手架坍塌；高处坠落；物体打击</x:v>
      </x:c>
      <x:c r="J197" s="41" t="str">
        <x:v>重大</x:v>
      </x:c>
      <x:c r="K197" s="35" t="str">
        <x:v>架子工；安全员；施工员；班组长</x:v>
      </x:c>
      <x:c r="L197" s="35" t="str">
        <x:v>现场检查+人工确认</x:v>
      </x:c>
      <x:c r="M197" s="35" t="str">
        <x:v>施工脚手架通用规范</x:v>
      </x:c>
      <x:c r="N197" s="35" t="str">
        <x:v>GB 55023-2022</x:v>
      </x:c>
      <x:c r="O197" s="35" t="str">
        <x:v>全文强制性工程建设规范</x:v>
      </x:c>
      <x:c r="P197" s="35" t="str">
        <x:v>现行；与其他脚手架标准冲突时优先</x:v>
      </x:c>
      <x:c r="Q197" s="35" t="str">
        <x:v>5.4.2</x:v>
      </x:c>
      <x:c r="R197" s="35" t="str">
        <x:v>5.4.2脚手架的拆除作业应符合下列规定：1架体拆除应按自上而下的顺序按步逐层进行，不应上下同时作业。2同层杆件和构配件应按先外后内的顺序拆除；剪刀撑、斜撑杆等加固杆件应在拆卸至该部位杆件时拆除。3作业脚手架连墙件应随架体逐层、同步拆除，不应先将连墙件整层或数层拆除后再拆架体。4作业脚手架拆除作业过程中，当架体悬臂段高度超过2步时，应加设临时拉结</x:v>
      </x:c>
      <x:c r="S197" s="41" t="n">
        <x:v>15</x:v>
      </x:c>
      <x:c r="T197" s="44" t="n">
        <x:v>12</x:v>
      </x:c>
    </x:row>
    <x:row r="198" ht="56" customHeight="1">
      <x:c r="A198" s="40" t="str">
        <x:v>JSJ-019</x:v>
      </x:c>
      <x:c r="B198" s="41" t="str">
        <x:v>启用</x:v>
      </x:c>
      <x:c r="C198" s="35" t="str">
        <x:v>施工脚手架</x:v>
      </x:c>
      <x:c r="D198" s="35" t="str">
        <x:v>脚手架搭设、使用与拆除</x:v>
      </x:c>
      <x:c r="E198" s="35" t="str">
        <x:v>搭设、使用或拆除施工脚手架时</x:v>
      </x:c>
      <x:c r="F198" s="35" t="str">
        <x:v>同层杆件和构配件应按先外后内的顺序拆除</x:v>
      </x:c>
      <x:c r="G198" s="35" t="str">
        <x:v>无明确数值；按文本要求判断</x:v>
      </x:c>
      <x:c r="H198" s="41" t="str">
        <x:v>应执行</x:v>
      </x:c>
      <x:c r="I198" s="35" t="str">
        <x:v>脚手架坍塌；高处坠落；物体打击</x:v>
      </x:c>
      <x:c r="J198" s="41" t="str">
        <x:v>重大</x:v>
      </x:c>
      <x:c r="K198" s="35" t="str">
        <x:v>架子工；安全员；施工员；班组长</x:v>
      </x:c>
      <x:c r="L198" s="35" t="str">
        <x:v>现场检查+人工确认</x:v>
      </x:c>
      <x:c r="M198" s="35" t="str">
        <x:v>施工脚手架通用规范</x:v>
      </x:c>
      <x:c r="N198" s="35" t="str">
        <x:v>GB 55023-2022</x:v>
      </x:c>
      <x:c r="O198" s="35" t="str">
        <x:v>全文强制性工程建设规范</x:v>
      </x:c>
      <x:c r="P198" s="35" t="str">
        <x:v>现行；与其他脚手架标准冲突时优先</x:v>
      </x:c>
      <x:c r="Q198" s="35" t="str">
        <x:v>5.4.2</x:v>
      </x:c>
      <x:c r="R198" s="35" t="str">
        <x:v>5.4.2脚手架的拆除作业应符合下列规定：1架体拆除应按自上而下的顺序按步逐层进行，不应上下同时作业。2同层杆件和构配件应按先外后内的顺序拆除；剪刀撑、斜撑杆等加固杆件应在拆卸至该部位杆件时拆除。3作业脚手架连墙件应随架体逐层、同步拆除，不应先将连墙件整层或数层拆除后再拆架体。4作业脚手架拆除作业过程中，当架体悬臂段高度超过2步时，应加设临时拉结</x:v>
      </x:c>
      <x:c r="S198" s="41" t="n">
        <x:v>15</x:v>
      </x:c>
      <x:c r="T198" s="44" t="n">
        <x:v>12</x:v>
      </x:c>
    </x:row>
    <x:row r="199" ht="56" customHeight="1">
      <x:c r="A199" s="40" t="str">
        <x:v>JSJ-020</x:v>
      </x:c>
      <x:c r="B199" s="41" t="str">
        <x:v>启用</x:v>
      </x:c>
      <x:c r="C199" s="35" t="str">
        <x:v>施工脚手架</x:v>
      </x:c>
      <x:c r="D199" s="35" t="str">
        <x:v>脚手架搭设、使用与拆除</x:v>
      </x:c>
      <x:c r="E199" s="35" t="str">
        <x:v>搭设、使用或拆除施工脚手架时</x:v>
      </x:c>
      <x:c r="F199" s="35" t="str">
        <x:v>作业脚手架连墙件应随架体逐层、同步拆除，不应先将连墙件整层或数层拆除后再拆架体</x:v>
      </x:c>
      <x:c r="G199" s="35" t="str">
        <x:v>无明确数值；按文本要求判断</x:v>
      </x:c>
      <x:c r="H199" s="41" t="str">
        <x:v>禁止/不得</x:v>
      </x:c>
      <x:c r="I199" s="35" t="str">
        <x:v>脚手架坍塌；高处坠落；物体打击</x:v>
      </x:c>
      <x:c r="J199" s="41" t="str">
        <x:v>重大</x:v>
      </x:c>
      <x:c r="K199" s="35" t="str">
        <x:v>架子工；安全员；施工员；班组长</x:v>
      </x:c>
      <x:c r="L199" s="35" t="str">
        <x:v>现场检查+人工确认</x:v>
      </x:c>
      <x:c r="M199" s="35" t="str">
        <x:v>施工脚手架通用规范</x:v>
      </x:c>
      <x:c r="N199" s="35" t="str">
        <x:v>GB 55023-2022</x:v>
      </x:c>
      <x:c r="O199" s="35" t="str">
        <x:v>全文强制性工程建设规范</x:v>
      </x:c>
      <x:c r="P199" s="35" t="str">
        <x:v>现行；与其他脚手架标准冲突时优先</x:v>
      </x:c>
      <x:c r="Q199" s="35" t="str">
        <x:v>5.4.2</x:v>
      </x:c>
      <x:c r="R199" s="35" t="str">
        <x:v>5.4.2脚手架的拆除作业应符合下列规定：1架体拆除应按自上而下的顺序按步逐层进行，不应上下同时作业。2同层杆件和构配件应按先外后内的顺序拆除；剪刀撑、斜撑杆等加固杆件应在拆卸至该部位杆件时拆除。3作业脚手架连墙件应随架体逐层、同步拆除，不应先将连墙件整层或数层拆除后再拆架体。4作业脚手架拆除作业过程中，当架体悬臂段高度超过2步时，应加设临时拉结</x:v>
      </x:c>
      <x:c r="S199" s="41" t="n">
        <x:v>15</x:v>
      </x:c>
      <x:c r="T199" s="44" t="n">
        <x:v>12</x:v>
      </x:c>
    </x:row>
    <x:row r="200" ht="56" customHeight="1">
      <x:c r="A200" s="40" t="str">
        <x:v>JSJ-021</x:v>
      </x:c>
      <x:c r="B200" s="41" t="str">
        <x:v>启用</x:v>
      </x:c>
      <x:c r="C200" s="35" t="str">
        <x:v>施工脚手架</x:v>
      </x:c>
      <x:c r="D200" s="35" t="str">
        <x:v>脚手架搭设、使用与拆除</x:v>
      </x:c>
      <x:c r="E200" s="35" t="str">
        <x:v>搭设、使用或拆除施工脚手架时</x:v>
      </x:c>
      <x:c r="F200" s="35" t="str">
        <x:v>作业脚手架拆除作业过程中，当架体悬臂段高度超过2步时，应加设临时拉结</x:v>
      </x:c>
      <x:c r="G200" s="35" t="str">
        <x:v>2步</x:v>
      </x:c>
      <x:c r="H200" s="41" t="str">
        <x:v>应执行</x:v>
      </x:c>
      <x:c r="I200" s="35" t="str">
        <x:v>脚手架坍塌；高处坠落；物体打击</x:v>
      </x:c>
      <x:c r="J200" s="41" t="str">
        <x:v>重大</x:v>
      </x:c>
      <x:c r="K200" s="35" t="str">
        <x:v>架子工；安全员；施工员；班组长</x:v>
      </x:c>
      <x:c r="L200" s="35" t="str">
        <x:v>现场目视+尺寸/仪器测量</x:v>
      </x:c>
      <x:c r="M200" s="35" t="str">
        <x:v>施工脚手架通用规范</x:v>
      </x:c>
      <x:c r="N200" s="35" t="str">
        <x:v>GB 55023-2022</x:v>
      </x:c>
      <x:c r="O200" s="35" t="str">
        <x:v>全文强制性工程建设规范</x:v>
      </x:c>
      <x:c r="P200" s="35" t="str">
        <x:v>现行；与其他脚手架标准冲突时优先</x:v>
      </x:c>
      <x:c r="Q200" s="35" t="str">
        <x:v>5.4.2</x:v>
      </x:c>
      <x:c r="R200" s="35" t="str">
        <x:v>5.4.2脚手架的拆除作业应符合下列规定：1架体拆除应按自上而下的顺序按步逐层进行，不应上下同时作业。2同层杆件和构配件应按先外后内的顺序拆除；剪刀撑、斜撑杆等加固杆件应在拆卸至该部位杆件时拆除。3作业脚手架连墙件应随架体逐层、同步拆除，不应先将连墙件整层或数层拆除后再拆架体。4作业脚手架拆除作业过程中，当架体悬臂段高度超过2步时，应加设临时拉结</x:v>
      </x:c>
      <x:c r="S200" s="41" t="n">
        <x:v>15</x:v>
      </x:c>
      <x:c r="T200" s="44" t="n">
        <x:v>12</x:v>
      </x:c>
    </x:row>
    <x:row r="201" ht="56" customHeight="1">
      <x:c r="A201" s="40" t="str">
        <x:v>JSJ-022</x:v>
      </x:c>
      <x:c r="B201" s="41" t="str">
        <x:v>启用</x:v>
      </x:c>
      <x:c r="C201" s="35" t="str">
        <x:v>施工脚手架</x:v>
      </x:c>
      <x:c r="D201" s="35" t="str">
        <x:v>脚手架搭设、使用与拆除</x:v>
      </x:c>
      <x:c r="E201" s="35" t="str">
        <x:v>搭设、使用或拆除施工脚手架时</x:v>
      </x:c>
      <x:c r="F201" s="35" t="str">
        <x:v>严禁高空抛掷拆除后的脚手架材料与构配件</x:v>
      </x:c>
      <x:c r="G201" s="35" t="str">
        <x:v>无明确数值；按文本要求判断</x:v>
      </x:c>
      <x:c r="H201" s="41" t="str">
        <x:v>禁止/不得</x:v>
      </x:c>
      <x:c r="I201" s="35" t="str">
        <x:v>脚手架坍塌；高处坠落；物体打击</x:v>
      </x:c>
      <x:c r="J201" s="41" t="str">
        <x:v>重大</x:v>
      </x:c>
      <x:c r="K201" s="35" t="str">
        <x:v>架子工；安全员；施工员；班组长</x:v>
      </x:c>
      <x:c r="L201" s="35" t="str">
        <x:v>现场目视或影像检查</x:v>
      </x:c>
      <x:c r="M201" s="35" t="str">
        <x:v>施工脚手架通用规范</x:v>
      </x:c>
      <x:c r="N201" s="35" t="str">
        <x:v>GB 55023-2022</x:v>
      </x:c>
      <x:c r="O201" s="35" t="str">
        <x:v>全文强制性工程建设规范</x:v>
      </x:c>
      <x:c r="P201" s="35" t="str">
        <x:v>现行；与其他脚手架标准冲突时优先</x:v>
      </x:c>
      <x:c r="Q201" s="35" t="str">
        <x:v>5.4.5</x:v>
      </x:c>
      <x:c r="R201" s="35" t="str">
        <x:v>5.4.5严禁高空抛掷拆除后的脚手架材料与构配件</x:v>
      </x:c>
      <x:c r="S201" s="41" t="n">
        <x:v>16</x:v>
      </x:c>
      <x:c r="T201" s="44" t="n">
        <x:v>13</x:v>
      </x:c>
    </x:row>
    <x:row r="202" ht="56" customHeight="1">
      <x:c r="A202" s="40" t="str">
        <x:v>DL-001</x:v>
      </x:c>
      <x:c r="B202" s="41" t="str">
        <x:v>启用</x:v>
      </x:c>
      <x:c r="C202" s="35" t="str">
        <x:v>高处作业吊篮</x:v>
      </x:c>
      <x:c r="D202" s="35" t="str">
        <x:v>吊篮安装、升降与使用</x:v>
      </x:c>
      <x:c r="E202" s="35" t="str">
        <x:v>安装、升降或使用高处作业吊篮时</x:v>
      </x:c>
      <x:c r="F202" s="35" t="str">
        <x:v>吊篮应安装防坠安全锁，并应灵敏有效</x:v>
      </x:c>
      <x:c r="G202" s="35" t="str">
        <x:v>无明确数值；按文本要求判断</x:v>
      </x:c>
      <x:c r="H202" s="41" t="str">
        <x:v>应执行</x:v>
      </x:c>
      <x:c r="I202" s="35" t="str">
        <x:v>高处坠落；设备失效；机械伤害</x:v>
      </x:c>
      <x:c r="J202" s="41" t="str">
        <x:v>较大</x:v>
      </x:c>
      <x:c r="K202" s="35" t="str">
        <x:v>吊篮操作人员；安全员；设备管理员；施工员</x:v>
      </x:c>
      <x:c r="L202" s="35" t="str">
        <x:v>现场检查+人工确认</x:v>
      </x:c>
      <x:c r="M202" s="35" t="str">
        <x:v>建筑施工安全检查标准</x:v>
      </x:c>
      <x:c r="N202" s="35" t="str">
        <x:v>JGJ 59-2011</x:v>
      </x:c>
      <x:c r="O202" s="35" t="str">
        <x:v>行业标准</x:v>
      </x:c>
      <x:c r="P202" s="35" t="str">
        <x:v>现行版本（与GB 55023冲突时以后者为准）</x:v>
      </x:c>
      <x:c r="Q202" s="35" t="str">
        <x:v>3.10.3</x:v>
      </x:c>
      <x:c r="R202" s="35" t="str">
        <x:v>3.10.3高处作业吊篮保证项目的检查评定应符合下列规定：1施工方案1）吊篮安装作业应编制专项施工方案，吊篮支架支撑处的结构承载力应经过验算；2）专项施工方案应按规定进行审核、审批。2安全装置1）吊篮应安装防坠安全锁，并应灵敏有效；2）防坠安全锁不应超过标定期限；3）吊篮应设置为作业人员挂设安全带专用的安全绳和安全锁扣，安全绳应固定在建筑物可靠位置上，不得与吊篮上的任何部位连接；4）吊篮应安装上限位装置，并应保证限位装置灵敏可靠。3悬挂机构1）悬挂机构前支架不得支撑在女儿墙及建筑物外挑檐边缘等非承重结构上；2）悬挂机构前梁外伸长度应符合产品说明书规定；3）前支架应与支撑面垂直，且脚轮不应受力；4）上支架应固定在前支架调节杆与悬挑梁连接的节点处；5）严禁使用破损的配重块或其他替代物；6）配重块应固定可靠，重量应符合设计规定。4钢丝绳1）钢丝绳不应存断丝、断股、松股、锈蚀、硬弯及油污和附着物；2）安全钢丝绳应单独设置，型号规格应与工作钢丝绳一致；3）吊篮运行时安全钢丝绳应张紧悬垂；4）电焊作业时应对钢丝绳采取保护措施。5安装作业1）吊篮平台的组装长度应符合产品说明书和规范要求；2）吊篮的构配件应为同一厂家的产品。6升降作业1）必须由经过培训合格的人员操作吊篮升降；2）吊篮内的作业人员不应超过2人；3）吊篮内作业人员应将安全带用安全锁扣正确挂置在独立设置的专用安全绳上；4）作业人员应从地面进出吊篮</x:v>
      </x:c>
      <x:c r="S202" s="41" t="n">
        <x:v>21</x:v>
      </x:c>
      <x:c r="T202" s="44" t="n">
        <x:v>19</x:v>
      </x:c>
    </x:row>
    <x:row r="203" ht="56" customHeight="1">
      <x:c r="A203" s="40" t="str">
        <x:v>DL-002</x:v>
      </x:c>
      <x:c r="B203" s="41" t="str">
        <x:v>启用</x:v>
      </x:c>
      <x:c r="C203" s="35" t="str">
        <x:v>高处作业吊篮</x:v>
      </x:c>
      <x:c r="D203" s="35" t="str">
        <x:v>吊篮安装、升降与使用</x:v>
      </x:c>
      <x:c r="E203" s="35" t="str">
        <x:v>安装、升降或使用高处作业吊篮时</x:v>
      </x:c>
      <x:c r="F203" s="35" t="str">
        <x:v>吊篮应设置为作业人员挂设安全带专用的安全绳和安全锁扣，安全绳应固定在建筑物可靠位置上，不得与吊篮上的任何部位连接</x:v>
      </x:c>
      <x:c r="G203" s="35" t="str">
        <x:v>无明确数值；按文本要求判断</x:v>
      </x:c>
      <x:c r="H203" s="41" t="str">
        <x:v>禁止/不得</x:v>
      </x:c>
      <x:c r="I203" s="35" t="str">
        <x:v>高处坠落；设备失效；机械伤害</x:v>
      </x:c>
      <x:c r="J203" s="41" t="str">
        <x:v>重大</x:v>
      </x:c>
      <x:c r="K203" s="35" t="str">
        <x:v>吊篮操作人员；安全员；设备管理员；施工员</x:v>
      </x:c>
      <x:c r="L203" s="35" t="str">
        <x:v>现场目视或影像检查</x:v>
      </x:c>
      <x:c r="M203" s="35" t="str">
        <x:v>建筑施工安全检查标准</x:v>
      </x:c>
      <x:c r="N203" s="35" t="str">
        <x:v>JGJ 59-2011</x:v>
      </x:c>
      <x:c r="O203" s="35" t="str">
        <x:v>行业标准</x:v>
      </x:c>
      <x:c r="P203" s="35" t="str">
        <x:v>现行版本（与GB 55023冲突时以后者为准）</x:v>
      </x:c>
      <x:c r="Q203" s="35" t="str">
        <x:v>3.10.3</x:v>
      </x:c>
      <x:c r="R203" s="35" t="str">
        <x:v>3.10.3高处作业吊篮保证项目的检查评定应符合下列规定：1施工方案1）吊篮安装作业应编制专项施工方案，吊篮支架支撑处的结构承载力应经过验算；2）专项施工方案应按规定进行审核、审批。2安全装置1）吊篮应安装防坠安全锁，并应灵敏有效；2）防坠安全锁不应超过标定期限；3）吊篮应设置为作业人员挂设安全带专用的安全绳和安全锁扣，安全绳应固定在建筑物可靠位置上，不得与吊篮上的任何部位连接；4）吊篮应安装上限位装置，并应保证限位装置灵敏可靠。3悬挂机构1）悬挂机构前支架不得支撑在女儿墙及建筑物外挑檐边缘等非承重结构上；2）悬挂机构前梁外伸长度应符合产品说明书规定；3）前支架应与支撑面垂直，且脚轮不应受力；4）上支架应固定在前支架调节杆与悬挑梁连接的节点处；5）严禁使用破损的配重块或其他替代物；6）配重块应固定可靠，重量应符合设计规定。4钢丝绳1）钢丝绳不应存断丝、断股、松股、锈蚀、硬弯及油污和附着物；2）安全钢丝绳应单独设置，型号规格应与工作钢丝绳一致；3）吊篮运行时安全钢丝绳应张紧悬垂；4）电焊作业时应对钢丝绳采取保护措施。5安装作业1）吊篮平台的组装长度应符合产品说明书和规范要求；2）吊篮的构配件应为同一厂家的产品。6升降作业1）必须由经过培训合格的人员操作吊篮升降；2）吊篮内的作业人员不应超过2人；3）吊篮内作业人员应将安全带用安全锁扣正确挂置在独立设置的专用安全绳上；4）作业人员应从地面进出吊篮</x:v>
      </x:c>
      <x:c r="S203" s="41" t="n">
        <x:v>21</x:v>
      </x:c>
      <x:c r="T203" s="44" t="n">
        <x:v>19</x:v>
      </x:c>
    </x:row>
    <x:row r="204" ht="56" customHeight="1">
      <x:c r="A204" s="40" t="str">
        <x:v>DL-003</x:v>
      </x:c>
      <x:c r="B204" s="41" t="str">
        <x:v>启用</x:v>
      </x:c>
      <x:c r="C204" s="35" t="str">
        <x:v>高处作业吊篮</x:v>
      </x:c>
      <x:c r="D204" s="35" t="str">
        <x:v>吊篮安装、升降与使用</x:v>
      </x:c>
      <x:c r="E204" s="35" t="str">
        <x:v>安装、升降或使用高处作业吊篮时</x:v>
      </x:c>
      <x:c r="F204" s="35" t="str">
        <x:v>吊篮内的作业人员不应超过2人</x:v>
      </x:c>
      <x:c r="G204" s="35" t="str">
        <x:v>2人</x:v>
      </x:c>
      <x:c r="H204" s="41" t="str">
        <x:v>禁止/不得</x:v>
      </x:c>
      <x:c r="I204" s="35" t="str">
        <x:v>高处坠落；设备失效；机械伤害</x:v>
      </x:c>
      <x:c r="J204" s="41" t="str">
        <x:v>重大</x:v>
      </x:c>
      <x:c r="K204" s="35" t="str">
        <x:v>吊篮操作人员；安全员；设备管理员；施工员</x:v>
      </x:c>
      <x:c r="L204" s="35" t="str">
        <x:v>现场目视+尺寸/仪器测量</x:v>
      </x:c>
      <x:c r="M204" s="35" t="str">
        <x:v>建筑施工安全检查标准</x:v>
      </x:c>
      <x:c r="N204" s="35" t="str">
        <x:v>JGJ 59-2011</x:v>
      </x:c>
      <x:c r="O204" s="35" t="str">
        <x:v>行业标准</x:v>
      </x:c>
      <x:c r="P204" s="35" t="str">
        <x:v>现行版本（与GB 55023冲突时以后者为准）</x:v>
      </x:c>
      <x:c r="Q204" s="35" t="str">
        <x:v>3.10.3</x:v>
      </x:c>
      <x:c r="R204" s="35" t="str">
        <x:v>3.10.3高处作业吊篮保证项目的检查评定应符合下列规定：1施工方案1）吊篮安装作业应编制专项施工方案，吊篮支架支撑处的结构承载力应经过验算；2）专项施工方案应按规定进行审核、审批。2安全装置1）吊篮应安装防坠安全锁，并应灵敏有效；2）防坠安全锁不应超过标定期限；3）吊篮应设置为作业人员挂设安全带专用的安全绳和安全锁扣，安全绳应固定在建筑物可靠位置上，不得与吊篮上的任何部位连接；4）吊篮应安装上限位装置，并应保证限位装置灵敏可靠。3悬挂机构1）悬挂机构前支架不得支撑在女儿墙及建筑物外挑檐边缘等非承重结构上；2）悬挂机构前梁外伸长度应符合产品说明书规定；3）前支架应与支撑面垂直，且脚轮不应受力；4）上支架应固定在前支架调节杆与悬挑梁连接的节点处；5）严禁使用破损的配重块或其他替代物；6）配重块应固定可靠，重量应符合设计规定。4钢丝绳1）钢丝绳不应存断丝、断股、松股、锈蚀、硬弯及油污和附着物；2）安全钢丝绳应单独设置，型号规格应与工作钢丝绳一致；3）吊篮运行时安全钢丝绳应张紧悬垂；4）电焊作业时应对钢丝绳采取保护措施。5安装作业1）吊篮平台的组装长度应符合产品说明书和规范要求；2）吊篮的构配件应为同一厂家的产品。6升降作业1）必须由经过培训合格的人员操作吊篮升降；2）吊篮内的作业人员不应超过2人；3）吊篮内作业人员应将安全带用安全锁扣正确挂置在独立设置的专用安全绳上；4）作业人员应从地面进出吊篮</x:v>
      </x:c>
      <x:c r="S204" s="41" t="n">
        <x:v>21</x:v>
      </x:c>
      <x:c r="T204" s="44" t="n">
        <x:v>19</x:v>
      </x:c>
    </x:row>
    <x:row r="205" ht="56" customHeight="1">
      <x:c r="A205" s="40" t="str">
        <x:v>DL-004</x:v>
      </x:c>
      <x:c r="B205" s="41" t="str">
        <x:v>启用</x:v>
      </x:c>
      <x:c r="C205" s="35" t="str">
        <x:v>高处作业吊篮</x:v>
      </x:c>
      <x:c r="D205" s="35" t="str">
        <x:v>吊篮安装、升降与使用</x:v>
      </x:c>
      <x:c r="E205" s="35" t="str">
        <x:v>安装、升降或使用高处作业吊篮时</x:v>
      </x:c>
      <x:c r="F205" s="35" t="str">
        <x:v>吊篮内作业人员应将安全带用安全锁扣正确挂置在独立设置的专用安全绳上</x:v>
      </x:c>
      <x:c r="G205" s="35" t="str">
        <x:v>无明确数值；按文本要求判断</x:v>
      </x:c>
      <x:c r="H205" s="41" t="str">
        <x:v>应执行</x:v>
      </x:c>
      <x:c r="I205" s="35" t="str">
        <x:v>高处坠落；设备失效；机械伤害</x:v>
      </x:c>
      <x:c r="J205" s="41" t="str">
        <x:v>较大</x:v>
      </x:c>
      <x:c r="K205" s="35" t="str">
        <x:v>吊篮操作人员；安全员；设备管理员；施工员</x:v>
      </x:c>
      <x:c r="L205" s="35" t="str">
        <x:v>现场目视或影像检查</x:v>
      </x:c>
      <x:c r="M205" s="35" t="str">
        <x:v>建筑施工安全检查标准</x:v>
      </x:c>
      <x:c r="N205" s="35" t="str">
        <x:v>JGJ 59-2011</x:v>
      </x:c>
      <x:c r="O205" s="35" t="str">
        <x:v>行业标准</x:v>
      </x:c>
      <x:c r="P205" s="35" t="str">
        <x:v>现行版本（与GB 55023冲突时以后者为准）</x:v>
      </x:c>
      <x:c r="Q205" s="35" t="str">
        <x:v>3.10.3</x:v>
      </x:c>
      <x:c r="R205" s="35" t="str">
        <x:v>3.10.3高处作业吊篮保证项目的检查评定应符合下列规定：1施工方案1）吊篮安装作业应编制专项施工方案，吊篮支架支撑处的结构承载力应经过验算；2）专项施工方案应按规定进行审核、审批。2安全装置1）吊篮应安装防坠安全锁，并应灵敏有效；2）防坠安全锁不应超过标定期限；3）吊篮应设置为作业人员挂设安全带专用的安全绳和安全锁扣，安全绳应固定在建筑物可靠位置上，不得与吊篮上的任何部位连接；4）吊篮应安装上限位装置，并应保证限位装置灵敏可靠。3悬挂机构1）悬挂机构前支架不得支撑在女儿墙及建筑物外挑檐边缘等非承重结构上；2）悬挂机构前梁外伸长度应符合产品说明书规定；3）前支架应与支撑面垂直，且脚轮不应受力；4）上支架应固定在前支架调节杆与悬挑梁连接的节点处；5）严禁使用破损的配重块或其他替代物；6）配重块应固定可靠，重量应符合设计规定。4钢丝绳1）钢丝绳不应存断丝、断股、松股、锈蚀、硬弯及油污和附着物；2）安全钢丝绳应单独设置，型号规格应与工作钢丝绳一致；3）吊篮运行时安全钢丝绳应张紧悬垂；4）电焊作业时应对钢丝绳采取保护措施。5安装作业1）吊篮平台的组装长度应符合产品说明书和规范要求；2）吊篮的构配件应为同一厂家的产品。6升降作业1）必须由经过培训合格的人员操作吊篮升降；2）吊篮内的作业人员不应超过2人；3）吊篮内作业人员应将安全带用安全锁扣正确挂置在独立设置的专用安全绳上；4）作业人员应从地面进出吊篮</x:v>
      </x:c>
      <x:c r="S205" s="41" t="n">
        <x:v>21</x:v>
      </x:c>
      <x:c r="T205" s="44" t="n">
        <x:v>19</x:v>
      </x:c>
    </x:row>
    <x:row r="206" ht="56" customHeight="1">
      <x:c r="A206" s="40" t="str">
        <x:v>DL-005</x:v>
      </x:c>
      <x:c r="B206" s="41" t="str">
        <x:v>启用</x:v>
      </x:c>
      <x:c r="C206" s="35" t="str">
        <x:v>高处作业吊篮</x:v>
      </x:c>
      <x:c r="D206" s="35" t="str">
        <x:v>吊篮安装、升降与使用</x:v>
      </x:c>
      <x:c r="E206" s="35" t="str">
        <x:v>安装、升降或使用高处作业吊篮时</x:v>
      </x:c>
      <x:c r="F206" s="35" t="str">
        <x:v>作业人员应从地面进出吊篮</x:v>
      </x:c>
      <x:c r="G206" s="35" t="str">
        <x:v>无明确数值；按文本要求判断</x:v>
      </x:c>
      <x:c r="H206" s="41" t="str">
        <x:v>应执行</x:v>
      </x:c>
      <x:c r="I206" s="35" t="str">
        <x:v>高处坠落；设备失效；机械伤害</x:v>
      </x:c>
      <x:c r="J206" s="41" t="str">
        <x:v>较大</x:v>
      </x:c>
      <x:c r="K206" s="35" t="str">
        <x:v>吊篮操作人员；安全员；设备管理员；施工员</x:v>
      </x:c>
      <x:c r="L206" s="35" t="str">
        <x:v>现场检查+人工确认</x:v>
      </x:c>
      <x:c r="M206" s="35" t="str">
        <x:v>建筑施工安全检查标准</x:v>
      </x:c>
      <x:c r="N206" s="35" t="str">
        <x:v>JGJ 59-2011</x:v>
      </x:c>
      <x:c r="O206" s="35" t="str">
        <x:v>行业标准</x:v>
      </x:c>
      <x:c r="P206" s="35" t="str">
        <x:v>现行版本（与GB 55023冲突时以后者为准）</x:v>
      </x:c>
      <x:c r="Q206" s="35" t="str">
        <x:v>3.10.3</x:v>
      </x:c>
      <x:c r="R206" s="35" t="str">
        <x:v>3.10.3高处作业吊篮保证项目的检查评定应符合下列规定：1施工方案1）吊篮安装作业应编制专项施工方案，吊篮支架支撑处的结构承载力应经过验算；2）专项施工方案应按规定进行审核、审批。2安全装置1）吊篮应安装防坠安全锁，并应灵敏有效；2）防坠安全锁不应超过标定期限；3）吊篮应设置为作业人员挂设安全带专用的安全绳和安全锁扣，安全绳应固定在建筑物可靠位置上，不得与吊篮上的任何部位连接；4）吊篮应安装上限位装置，并应保证限位装置灵敏可靠。3悬挂机构1）悬挂机构前支架不得支撑在女儿墙及建筑物外挑檐边缘等非承重结构上；2）悬挂机构前梁外伸长度应符合产品说明书规定；3）前支架应与支撑面垂直，且脚轮不应受力；4）上支架应固定在前支架调节杆与悬挑梁连接的节点处；5）严禁使用破损的配重块或其他替代物；6）配重块应固定可靠，重量应符合设计规定。4钢丝绳1）钢丝绳不应存断丝、断股、松股、锈蚀、硬弯及油污和附着物；2）安全钢丝绳应单独设置，型号规格应与工作钢丝绳一致；3）吊篮运行时安全钢丝绳应张紧悬垂；4）电焊作业时应对钢丝绳采取保护措施。5安装作业1）吊篮平台的组装长度应符合产品说明书和规范要求；2）吊篮的构配件应为同一厂家的产品。6升降作业1）必须由经过培训合格的人员操作吊篮升降；2）吊篮内的作业人员不应超过2人；3）吊篮内作业人员应将安全带用安全锁扣正确挂置在独立设置的专用安全绳上；4）作业人员应从地面进出吊篮</x:v>
      </x:c>
      <x:c r="S206" s="41" t="n">
        <x:v>21</x:v>
      </x:c>
      <x:c r="T206" s="44" t="n">
        <x:v>19</x:v>
      </x:c>
    </x:row>
    <x:row r="207" ht="56" customHeight="1">
      <x:c r="A207" s="40" t="str">
        <x:v>PPE-001</x:v>
      </x:c>
      <x:c r="B207" s="41" t="str">
        <x:v>启用</x:v>
      </x:c>
      <x:c r="C207" s="35" t="str">
        <x:v>个体防护</x:v>
      </x:c>
      <x:c r="D207" s="35" t="str">
        <x:v>安全帽佩戴</x:v>
      </x:c>
      <x:c r="E207" s="35" t="str">
        <x:v>人员进入施工现场时</x:v>
      </x:c>
      <x:c r="F207" s="35" t="str">
        <x:v>进入施工现场的人员必须正确佩戴安全帽</x:v>
      </x:c>
      <x:c r="G207" s="35" t="str">
        <x:v>无明确数值；按文本要求判断</x:v>
      </x:c>
      <x:c r="H207" s="41" t="str">
        <x:v>必须</x:v>
      </x:c>
      <x:c r="I207" s="35" t="str">
        <x:v>物体打击；头部伤害</x:v>
      </x:c>
      <x:c r="J207" s="41" t="str">
        <x:v>重大</x:v>
      </x:c>
      <x:c r="K207" s="35" t="str">
        <x:v>作业人员；安全员；班组长</x:v>
      </x:c>
      <x:c r="L207" s="35" t="str">
        <x:v>现场目视或影像检查</x:v>
      </x:c>
      <x:c r="M207" s="35" t="str">
        <x:v>建筑施工安全检查标准</x:v>
      </x:c>
      <x:c r="N207" s="35" t="str">
        <x:v>JGJ 59-2011</x:v>
      </x:c>
      <x:c r="O207" s="35" t="str">
        <x:v>行业标准</x:v>
      </x:c>
      <x:c r="P207" s="35" t="str">
        <x:v>现行版本（与GB 55023冲突时以后者为准）</x:v>
      </x:c>
      <x:c r="Q207" s="35" t="str">
        <x:v>3.13.3</x:v>
      </x:c>
      <x:c r="R207" s="35" t="str">
        <x:v>3.13.3高处作业的检查评定应符合下列规定：1安全帽1）进入施工现场的人员必须正确佩戴安全帽；22</x:v>
      </x:c>
      <x:c r="S207" s="41" t="n">
        <x:v>24</x:v>
      </x:c>
      <x:c r="T207" s="44" t="n">
        <x:v>22</x:v>
      </x:c>
    </x:row>
    <x:row r="208" ht="56" customHeight="1">
      <x:c r="A208" s="40" t="str">
        <x:v>PPE-002</x:v>
      </x:c>
      <x:c r="B208" s="41" t="str">
        <x:v>启用</x:v>
      </x:c>
      <x:c r="C208" s="35" t="str">
        <x:v>安全帽使用</x:v>
      </x:c>
      <x:c r="D208" s="35" t="str">
        <x:v>安全帽佩戴与报废</x:v>
      </x:c>
      <x:c r="E208" s="35" t="str">
        <x:v>使用安全帽时应根据头围大小调节帽箍或下颏带</x:v>
      </x:c>
      <x:c r="F208" s="35" t="str">
        <x:v>使用安全帽时应根据头围大小调节帽箍或下颏带，以保证佩戴牢固，不会意外偏移或滑落</x:v>
      </x:c>
      <x:c r="G208" s="35" t="str">
        <x:v>无明确数值；按文本要求判断</x:v>
      </x:c>
      <x:c r="H208" s="41" t="str">
        <x:v>应执行</x:v>
      </x:c>
      <x:c r="I208" s="35" t="str">
        <x:v>物体打击；头部伤害</x:v>
      </x:c>
      <x:c r="J208" s="41" t="str">
        <x:v>较大</x:v>
      </x:c>
      <x:c r="K208" s="35" t="str">
        <x:v>作业人员；安全员；班组长</x:v>
      </x:c>
      <x:c r="L208" s="35" t="str">
        <x:v>现场目视或影像检查</x:v>
      </x:c>
      <x:c r="M208" s="35" t="str">
        <x:v>头部防护 安全帽</x:v>
      </x:c>
      <x:c r="N208" s="35" t="str">
        <x:v>GB 2811-2019</x:v>
      </x:c>
      <x:c r="O208" s="35" t="str">
        <x:v>强制性国家标准</x:v>
      </x:c>
      <x:c r="P208" s="35" t="str">
        <x:v>现行</x:v>
      </x:c>
      <x:c r="Q208" s="35" t="str">
        <x:v>7.3</x:v>
      </x:c>
      <x:c r="R208" s="35" t="str">
        <x:v>7.3制造商提供的信息每顶安全帽均要提供一个含有下列信息的材料，可以使用印刷品、图册或耐磨不干胶贴等形式，提供给最终使用者。至少应包括以下内容：a）警示：“使用安全帽时应根据头围大小调节帽箍或下颏带，以保证佩戴牢固，不会意外偏移或滑落”；b)警示：“安全帽在经受严重冲击后，即使没有明显损坏，也必须更换”；c)警示：“除非按制造商的建议进行，否则对安全帽配件进行的任何改造和更换都会给使用者带来危险”；d)是否可以在外表面涂敷油漆、溶剂、不干胶贴的声明；e)制造商的名称、地址和联系方式；f)为合格品的声明及资料；g)适用和不适用场所；h)适用头围的大小;i)安全帽的报废判别条件和使用期限</x:v>
      </x:c>
      <x:c r="S208" s="41" t="n">
        <x:v>10</x:v>
      </x:c>
      <x:c r="T208" s="44" t="n">
        <x:v>7</x:v>
      </x:c>
    </x:row>
    <x:row r="209" ht="56" customHeight="1">
      <x:c r="A209" s="40" t="str">
        <x:v>PPE-003</x:v>
      </x:c>
      <x:c r="B209" s="41" t="str">
        <x:v>启用</x:v>
      </x:c>
      <x:c r="C209" s="35" t="str">
        <x:v>安全帽使用</x:v>
      </x:c>
      <x:c r="D209" s="35" t="str">
        <x:v>安全帽佩戴与报废</x:v>
      </x:c>
      <x:c r="E209" s="35" t="str">
        <x:v>人员选择、佩戴或检查安全帽时</x:v>
      </x:c>
      <x:c r="F209" s="35" t="str">
        <x:v>安全帽在经受严重冲击后，即使没有明显损坏，也必须更换</x:v>
      </x:c>
      <x:c r="G209" s="35" t="str">
        <x:v>无明确数值；按文本要求判断</x:v>
      </x:c>
      <x:c r="H209" s="41" t="str">
        <x:v>必须</x:v>
      </x:c>
      <x:c r="I209" s="35" t="str">
        <x:v>物体打击；头部伤害</x:v>
      </x:c>
      <x:c r="J209" s="41" t="str">
        <x:v>重大</x:v>
      </x:c>
      <x:c r="K209" s="35" t="str">
        <x:v>作业人员；安全员；班组长</x:v>
      </x:c>
      <x:c r="L209" s="35" t="str">
        <x:v>现场检查+人工确认</x:v>
      </x:c>
      <x:c r="M209" s="35" t="str">
        <x:v>头部防护 安全帽</x:v>
      </x:c>
      <x:c r="N209" s="35" t="str">
        <x:v>GB 2811-2019</x:v>
      </x:c>
      <x:c r="O209" s="35" t="str">
        <x:v>强制性国家标准</x:v>
      </x:c>
      <x:c r="P209" s="35" t="str">
        <x:v>现行</x:v>
      </x:c>
      <x:c r="Q209" s="35" t="str">
        <x:v>7.3</x:v>
      </x:c>
      <x:c r="R209" s="35" t="str">
        <x:v>7.3制造商提供的信息每顶安全帽均要提供一个含有下列信息的材料，可以使用印刷品、图册或耐磨不干胶贴等形式，提供给最终使用者。至少应包括以下内容：a）警示：“使用安全帽时应根据头围大小调节帽箍或下颏带，以保证佩戴牢固，不会意外偏移或滑落”；b)警示：“安全帽在经受严重冲击后，即使没有明显损坏，也必须更换”；c)警示：“除非按制造商的建议进行，否则对安全帽配件进行的任何改造和更换都会给使用者带来危险”；d)是否可以在外表面涂敷油漆、溶剂、不干胶贴的声明；e)制造商的名称、地址和联系方式；f)为合格品的声明及资料；g)适用和不适用场所；h)适用头围的大小;i)安全帽的报废判别条件和使用期限</x:v>
      </x:c>
      <x:c r="S209" s="41" t="n">
        <x:v>10</x:v>
      </x:c>
      <x:c r="T209" s="44" t="n">
        <x:v>7</x:v>
      </x:c>
    </x:row>
    <x:row r="210" ht="56" customHeight="1">
      <x:c r="A210" s="40" t="str">
        <x:v>PPE-004</x:v>
      </x:c>
      <x:c r="B210" s="41" t="str">
        <x:v>启用</x:v>
      </x:c>
      <x:c r="C210" s="35" t="str">
        <x:v>安全带使用</x:v>
      </x:c>
      <x:c r="D210" s="35" t="str">
        <x:v>坠落悬挂与人员培训</x:v>
      </x:c>
      <x:c r="E210" s="35" t="str">
        <x:v>人员使用安全带进行坠落防护时</x:v>
      </x:c>
      <x:c r="F210" s="35" t="str">
        <x:v>坠落悬挂用安全带的设计应至少符合下列要求：坠落悬挂用系带应为全身式系带</x:v>
      </x:c>
      <x:c r="G210" s="35" t="str">
        <x:v>无明确数值；按文本要求判断</x:v>
      </x:c>
      <x:c r="H210" s="41" t="str">
        <x:v>应执行</x:v>
      </x:c>
      <x:c r="I210" s="35" t="str">
        <x:v>高处坠落；悬吊伤害</x:v>
      </x:c>
      <x:c r="J210" s="41" t="str">
        <x:v>较大</x:v>
      </x:c>
      <x:c r="K210" s="35" t="str">
        <x:v>技术负责人；方案编制人员；项目负责人；安全员</x:v>
      </x:c>
      <x:c r="L210" s="35" t="str">
        <x:v>现场检查+人工确认</x:v>
      </x:c>
      <x:c r="M210" s="35" t="str">
        <x:v>坠落防护 安全带</x:v>
      </x:c>
      <x:c r="N210" s="35" t="str">
        <x:v>GB 6095-2021</x:v>
      </x:c>
      <x:c r="O210" s="35" t="str">
        <x:v>强制性国家标准</x:v>
      </x:c>
      <x:c r="P210" s="35" t="str">
        <x:v>现行</x:v>
      </x:c>
      <x:c r="Q210" s="35" t="str">
        <x:v>5.3.3.2</x:v>
      </x:c>
      <x:c r="R210" s="35" t="str">
        <x:v>5.3.3.2坠落悬挂用安全带的设计应至少符合下列要求：坠落悬挂用系带应为全身式系带；系带应包含一个或多个坠落悬挂用连接点；系带连接点应位于使用者前胸或后背；当安全带中的坠落悬挂用零部件仅含坠落悬挂安全绳时，安全绳应具备能量吸收功能或与缓冲器一起使用；包含未展开缓冲器的坠落悬挂安全绳长度应小于或等于2m；当安全带可用于多个作业类别时，应符合相应类别的要求</x:v>
      </x:c>
      <x:c r="S210" s="41" t="n">
        <x:v>8</x:v>
      </x:c>
      <x:c r="T210" s="44" t="n">
        <x:v>5</x:v>
      </x:c>
    </x:row>
    <x:row r="211" ht="56" customHeight="1">
      <x:c r="A211" s="40" t="str">
        <x:v>PPE-005</x:v>
      </x:c>
      <x:c r="B211" s="41" t="str">
        <x:v>启用</x:v>
      </x:c>
      <x:c r="C211" s="35" t="str">
        <x:v>安全带使用</x:v>
      </x:c>
      <x:c r="D211" s="35" t="str">
        <x:v>坠落悬挂与人员培训</x:v>
      </x:c>
      <x:c r="E211" s="35" t="str">
        <x:v>人员使用安全带进行坠落防护时</x:v>
      </x:c>
      <x:c r="F211" s="35" t="str">
        <x:v>系带连接点应位于使用者前胸或后背</x:v>
      </x:c>
      <x:c r="G211" s="35" t="str">
        <x:v>无明确数值；按文本要求判断</x:v>
      </x:c>
      <x:c r="H211" s="41" t="str">
        <x:v>应执行</x:v>
      </x:c>
      <x:c r="I211" s="35" t="str">
        <x:v>高处坠落；悬吊伤害</x:v>
      </x:c>
      <x:c r="J211" s="41" t="str">
        <x:v>较大</x:v>
      </x:c>
      <x:c r="K211" s="35" t="str">
        <x:v>作业人员；安全员；班组长</x:v>
      </x:c>
      <x:c r="L211" s="35" t="str">
        <x:v>现场检查+人工确认</x:v>
      </x:c>
      <x:c r="M211" s="35" t="str">
        <x:v>坠落防护 安全带</x:v>
      </x:c>
      <x:c r="N211" s="35" t="str">
        <x:v>GB 6095-2021</x:v>
      </x:c>
      <x:c r="O211" s="35" t="str">
        <x:v>强制性国家标准</x:v>
      </x:c>
      <x:c r="P211" s="35" t="str">
        <x:v>现行</x:v>
      </x:c>
      <x:c r="Q211" s="35" t="str">
        <x:v>5.3.3.2</x:v>
      </x:c>
      <x:c r="R211" s="35" t="str">
        <x:v>5.3.3.2坠落悬挂用安全带的设计应至少符合下列要求：坠落悬挂用系带应为全身式系带；系带应包含一个或多个坠落悬挂用连接点；系带连接点应位于使用者前胸或后背；当安全带中的坠落悬挂用零部件仅含坠落悬挂安全绳时，安全绳应具备能量吸收功能或与缓冲器一起使用；包含未展开缓冲器的坠落悬挂安全绳长度应小于或等于2m；当安全带可用于多个作业类别时，应符合相应类别的要求</x:v>
      </x:c>
      <x:c r="S211" s="41" t="n">
        <x:v>8</x:v>
      </x:c>
      <x:c r="T211" s="44" t="n">
        <x:v>5</x:v>
      </x:c>
    </x:row>
    <x:row r="212" ht="56" customHeight="1">
      <x:c r="A212" s="40" t="str">
        <x:v>PPE-006</x:v>
      </x:c>
      <x:c r="B212" s="41" t="str">
        <x:v>启用</x:v>
      </x:c>
      <x:c r="C212" s="35" t="str">
        <x:v>安全带使用</x:v>
      </x:c>
      <x:c r="D212" s="35" t="str">
        <x:v>坠落悬挂与人员培训</x:v>
      </x:c>
      <x:c r="E212" s="35" t="str">
        <x:v>人员使用安全带进行坠落防护时</x:v>
      </x:c>
      <x:c r="F212" s="35" t="str">
        <x:v>包含未展开缓冲器的坠落悬挂安全绳长度应小于或等于2m</x:v>
      </x:c>
      <x:c r="G212" s="35" t="str">
        <x:v>2m</x:v>
      </x:c>
      <x:c r="H212" s="41" t="str">
        <x:v>应执行</x:v>
      </x:c>
      <x:c r="I212" s="35" t="str">
        <x:v>高处坠落；悬吊伤害</x:v>
      </x:c>
      <x:c r="J212" s="41" t="str">
        <x:v>较大</x:v>
      </x:c>
      <x:c r="K212" s="35" t="str">
        <x:v>作业人员；安全员；班组长</x:v>
      </x:c>
      <x:c r="L212" s="35" t="str">
        <x:v>现场目视+尺寸/仪器测量</x:v>
      </x:c>
      <x:c r="M212" s="35" t="str">
        <x:v>坠落防护 安全带</x:v>
      </x:c>
      <x:c r="N212" s="35" t="str">
        <x:v>GB 6095-2021</x:v>
      </x:c>
      <x:c r="O212" s="35" t="str">
        <x:v>强制性国家标准</x:v>
      </x:c>
      <x:c r="P212" s="35" t="str">
        <x:v>现行</x:v>
      </x:c>
      <x:c r="Q212" s="35" t="str">
        <x:v>5.3.3.2</x:v>
      </x:c>
      <x:c r="R212" s="35" t="str">
        <x:v>5.3.3.2坠落悬挂用安全带的设计应至少符合下列要求：坠落悬挂用系带应为全身式系带；系带应包含一个或多个坠落悬挂用连接点；系带连接点应位于使用者前胸或后背；当安全带中的坠落悬挂用零部件仅含坠落悬挂安全绳时，安全绳应具备能量吸收功能或与缓冲器一起使用；包含未展开缓冲器的坠落悬挂安全绳长度应小于或等于2m；当安全带可用于多个作业类别时，应符合相应类别的要求</x:v>
      </x:c>
      <x:c r="S212" s="41" t="n">
        <x:v>8</x:v>
      </x:c>
      <x:c r="T212" s="44" t="n">
        <x:v>5</x:v>
      </x:c>
    </x:row>
    <x:row r="213" ht="56" customHeight="1">
      <x:c r="A213" s="40" t="str">
        <x:v>PPE-007</x:v>
      </x:c>
      <x:c r="B213" s="41" t="str">
        <x:v>启用</x:v>
      </x:c>
      <x:c r="C213" s="35" t="str">
        <x:v>安全带使用</x:v>
      </x:c>
      <x:c r="D213" s="35" t="str">
        <x:v>坠落悬挂与人员培训</x:v>
      </x:c>
      <x:c r="E213" s="35" t="str">
        <x:v>人员使用安全带进行坠落防护时</x:v>
      </x:c>
      <x:c r="F213" s="35" t="str">
        <x:v>使用者必须经过培训确认有能力正确使用安全带</x:v>
      </x:c>
      <x:c r="G213" s="35" t="str">
        <x:v>无明确数值；按文本要求判断</x:v>
      </x:c>
      <x:c r="H213" s="41" t="str">
        <x:v>必须</x:v>
      </x:c>
      <x:c r="I213" s="35" t="str">
        <x:v>高处坠落；悬吊伤害</x:v>
      </x:c>
      <x:c r="J213" s="41" t="str">
        <x:v>重大</x:v>
      </x:c>
      <x:c r="K213" s="35" t="str">
        <x:v>作业人员；安全员；班组长</x:v>
      </x:c>
      <x:c r="L213" s="35" t="str">
        <x:v>现场检查+人工确认</x:v>
      </x:c>
      <x:c r="M213" s="35" t="str">
        <x:v>坠落防护 安全带</x:v>
      </x:c>
      <x:c r="N213" s="35" t="str">
        <x:v>GB 6095-2021</x:v>
      </x:c>
      <x:c r="O213" s="35" t="str">
        <x:v>强制性国家标准</x:v>
      </x:c>
      <x:c r="P213" s="35" t="str">
        <x:v>现行</x:v>
      </x:c>
      <x:c r="Q213" s="35" t="str">
        <x:v>第8章（o）</x:v>
      </x:c>
      <x:c r="R213" s="35" t="str">
        <x:v>8制造商提供的信息：使用维护等应至少包括以下内容：o）警示语：使用者必须经过培训确认有能力正确使用安全带。</x:v>
      </x:c>
      <x:c r="S213" s="41" t="n">
        <x:v>11</x:v>
      </x:c>
      <x:c r="T213" s="44" t="n">
        <x:v>8</x:v>
      </x:c>
    </x:row>
    <x:row r="214" ht="56" customHeight="1">
      <x:c r="A214" s="40" t="str">
        <x:v>JSJ-023</x:v>
      </x:c>
      <x:c r="B214" s="41" t="str">
        <x:v>启用</x:v>
      </x:c>
      <x:c r="C214" s="35" t="str">
        <x:v>施工脚手架</x:v>
      </x:c>
      <x:c r="D214" s="35" t="str">
        <x:v>架体构造设计与组装</x:v>
      </x:c>
      <x:c r="E214" s="35" t="str">
        <x:v>搭设、使用、检查或拆除施工脚手架时</x:v>
      </x:c>
      <x:c r="F214" s="35" t="str">
        <x:v>脚手架的构造和组架工艺应满足施工需求，并保证架体牢固、稳定</x:v>
      </x:c>
      <x:c r="G214" s="35" t="str">
        <x:v>无明确数值；按文本要求判断</x:v>
      </x:c>
      <x:c r="H214" s="41" t="str">
        <x:v>应执行</x:v>
      </x:c>
      <x:c r="I214" s="35" t="str">
        <x:v>脚手架坍塌；高处坠落；物体打击</x:v>
      </x:c>
      <x:c r="J214" s="41" t="str">
        <x:v>重大</x:v>
      </x:c>
      <x:c r="K214" s="35" t="str">
        <x:v>架子工；安全员；施工员；班组长</x:v>
      </x:c>
      <x:c r="L214" s="35" t="str">
        <x:v>现场检查+人工确认</x:v>
      </x:c>
      <x:c r="M214" s="35" t="str">
        <x:v>建筑施工脚手架安全技术统一标准</x:v>
      </x:c>
      <x:c r="N214" s="35" t="str">
        <x:v>GB 51210-2016</x:v>
      </x:c>
      <x:c r="O214" s="35" t="str">
        <x:v>国家标准（部分条文强制）</x:v>
      </x:c>
      <x:c r="P214" s="35" t="str">
        <x:v>现行；与GB 55023-2022冲突时以后者为准</x:v>
      </x:c>
      <x:c r="Q214" s="35" t="str">
        <x:v>8.1.1</x:v>
      </x:c>
      <x:c r="R214" s="35" t="str">
        <x:v>8.1.1 脚手架的构造和组架工艺应能满足施工需求,并应保证 架体牢固、稳定</x:v>
      </x:c>
      <x:c r="S214" s="41" t="n">
        <x:v>50</x:v>
      </x:c>
      <x:c r="T214" s="44" t="n">
        <x:v>39</x:v>
      </x:c>
    </x:row>
    <x:row r="215" ht="56" customHeight="1">
      <x:c r="A215" s="40" t="str">
        <x:v>JSJ-024</x:v>
      </x:c>
      <x:c r="B215" s="41" t="str">
        <x:v>启用</x:v>
      </x:c>
      <x:c r="C215" s="35" t="str">
        <x:v>施工脚手架</x:v>
      </x:c>
      <x:c r="D215" s="35" t="str">
        <x:v>节点设计与验收</x:v>
      </x:c>
      <x:c r="E215" s="35" t="str">
        <x:v>搭设、使用、检查或拆除施工脚手架时</x:v>
      </x:c>
      <x:c r="F215" s="35" t="str">
        <x:v>脚手架杆件连接节点应满足强度和转动刚度要求</x:v>
      </x:c>
      <x:c r="G215" s="35" t="str">
        <x:v>无明确数值；按文本要求判断</x:v>
      </x:c>
      <x:c r="H215" s="41" t="str">
        <x:v>应执行</x:v>
      </x:c>
      <x:c r="I215" s="35" t="str">
        <x:v>脚手架坍塌；高处坠落；物体打击</x:v>
      </x:c>
      <x:c r="J215" s="41" t="str">
        <x:v>较大</x:v>
      </x:c>
      <x:c r="K215" s="35" t="str">
        <x:v>架子工；安全员；施工员；班组长</x:v>
      </x:c>
      <x:c r="L215" s="35" t="str">
        <x:v>现场检查+人工确认</x:v>
      </x:c>
      <x:c r="M215" s="35" t="str">
        <x:v>建筑施工脚手架安全技术统一标准</x:v>
      </x:c>
      <x:c r="N215" s="35" t="str">
        <x:v>GB 51210-2016</x:v>
      </x:c>
      <x:c r="O215" s="35" t="str">
        <x:v>国家标准（部分条文强制）</x:v>
      </x:c>
      <x:c r="P215" s="35" t="str">
        <x:v>现行；与GB 55023-2022冲突时以后者为准</x:v>
      </x:c>
      <x:c r="Q215" s="35" t="str">
        <x:v>8.1.2</x:v>
      </x:c>
      <x:c r="R215" s="35" t="str">
        <x:v>8.1.2 脚手架杆件连接节点应满足其强度和转动刚度要求,应 确保架体在使用期内安全,节点无松动</x:v>
      </x:c>
      <x:c r="S215" s="41" t="n">
        <x:v>50</x:v>
      </x:c>
      <x:c r="T215" s="44" t="n">
        <x:v>39</x:v>
      </x:c>
    </x:row>
    <x:row r="216" ht="56" customHeight="1">
      <x:c r="A216" s="40" t="str">
        <x:v>JSJ-025</x:v>
      </x:c>
      <x:c r="B216" s="41" t="str">
        <x:v>启用</x:v>
      </x:c>
      <x:c r="C216" s="35" t="str">
        <x:v>施工脚手架</x:v>
      </x:c>
      <x:c r="D216" s="35" t="str">
        <x:v>节点设计与验收</x:v>
      </x:c>
      <x:c r="E216" s="35" t="str">
        <x:v>搭设、使用、检查或拆除施工脚手架时</x:v>
      </x:c>
      <x:c r="F216" s="35" t="str">
        <x:v>脚手架杆件连接节点应确保架体在使用期内安全且节点无松动</x:v>
      </x:c>
      <x:c r="G216" s="35" t="str">
        <x:v>无明确数值；按文本要求判断</x:v>
      </x:c>
      <x:c r="H216" s="41" t="str">
        <x:v>应执行</x:v>
      </x:c>
      <x:c r="I216" s="35" t="str">
        <x:v>脚手架坍塌；高处坠落；物体打击</x:v>
      </x:c>
      <x:c r="J216" s="41" t="str">
        <x:v>较大</x:v>
      </x:c>
      <x:c r="K216" s="35" t="str">
        <x:v>架子工；安全员；施工员；班组长</x:v>
      </x:c>
      <x:c r="L216" s="35" t="str">
        <x:v>现场检查+人工确认</x:v>
      </x:c>
      <x:c r="M216" s="35" t="str">
        <x:v>建筑施工脚手架安全技术统一标准</x:v>
      </x:c>
      <x:c r="N216" s="35" t="str">
        <x:v>GB 51210-2016</x:v>
      </x:c>
      <x:c r="O216" s="35" t="str">
        <x:v>国家标准（部分条文强制）</x:v>
      </x:c>
      <x:c r="P216" s="35" t="str">
        <x:v>现行；与GB 55023-2022冲突时以后者为准</x:v>
      </x:c>
      <x:c r="Q216" s="35" t="str">
        <x:v>8.1.2</x:v>
      </x:c>
      <x:c r="R216" s="35" t="str">
        <x:v>8.1.2 脚手架杆件连接节点应满足其强度和转动刚度要求,应 确保架体在使用期内安全,节点无松动</x:v>
      </x:c>
      <x:c r="S216" s="41" t="n">
        <x:v>50</x:v>
      </x:c>
      <x:c r="T216" s="44" t="n">
        <x:v>39</x:v>
      </x:c>
    </x:row>
    <x:row r="217" ht="56" customHeight="1">
      <x:c r="A217" s="40" t="str">
        <x:v>JSJ-026</x:v>
      </x:c>
      <x:c r="B217" s="41" t="str">
        <x:v>启用</x:v>
      </x:c>
      <x:c r="C217" s="35" t="str">
        <x:v>施工脚手架</x:v>
      </x:c>
      <x:c r="D217" s="35" t="str">
        <x:v>作业脚手架尺寸控制</x:v>
      </x:c>
      <x:c r="E217" s="35" t="str">
        <x:v>搭设、使用、检查或拆除施工脚手架时</x:v>
      </x:c>
      <x:c r="F217" s="35" t="str">
        <x:v>作业脚手架宽度不应小于0.8m，且不宜大于1.2m</x:v>
      </x:c>
      <x:c r="G217" s="35" t="str">
        <x:v>0.8m；1.2m</x:v>
      </x:c>
      <x:c r="H217" s="41" t="str">
        <x:v>禁止/不得</x:v>
      </x:c>
      <x:c r="I217" s="35" t="str">
        <x:v>脚手架坍塌；高处坠落；物体打击</x:v>
      </x:c>
      <x:c r="J217" s="41" t="str">
        <x:v>重大</x:v>
      </x:c>
      <x:c r="K217" s="35" t="str">
        <x:v>架子工；安全员；施工员；班组长</x:v>
      </x:c>
      <x:c r="L217" s="35" t="str">
        <x:v>现场目视+尺寸/仪器测量</x:v>
      </x:c>
      <x:c r="M217" s="35" t="str">
        <x:v>建筑施工脚手架安全技术统一标准</x:v>
      </x:c>
      <x:c r="N217" s="35" t="str">
        <x:v>GB 51210-2016</x:v>
      </x:c>
      <x:c r="O217" s="35" t="str">
        <x:v>国家标准（部分条文强制）</x:v>
      </x:c>
      <x:c r="P217" s="35" t="str">
        <x:v>现行；与GB 55023-2022冲突时以后者为准</x:v>
      </x:c>
      <x:c r="Q217" s="35" t="str">
        <x:v>8.2.1</x:v>
      </x:c>
      <x:c r="R217" s="35" t="str">
        <x:v>8.2.1 作业脚手架的宽度不应小于 0.8m,且不宜大于 1.2m。 作业层高度不应小于 1.7m,且不宜大于 2.0m</x:v>
      </x:c>
      <x:c r="S217" s="41" t="n">
        <x:v>50</x:v>
      </x:c>
      <x:c r="T217" s="44" t="n">
        <x:v>39</x:v>
      </x:c>
    </x:row>
    <x:row r="218" ht="56" customHeight="1">
      <x:c r="A218" s="40" t="str">
        <x:v>JSJ-027</x:v>
      </x:c>
      <x:c r="B218" s="41" t="str">
        <x:v>启用</x:v>
      </x:c>
      <x:c r="C218" s="35" t="str">
        <x:v>施工脚手架</x:v>
      </x:c>
      <x:c r="D218" s="35" t="str">
        <x:v>作业脚手架尺寸控制</x:v>
      </x:c>
      <x:c r="E218" s="35" t="str">
        <x:v>搭设、使用、检查或拆除施工脚手架时</x:v>
      </x:c>
      <x:c r="F218" s="35" t="str">
        <x:v>作业层高度不应小于1.7m，且不宜大于2.0m</x:v>
      </x:c>
      <x:c r="G218" s="35" t="str">
        <x:v>1.7m；2.0m</x:v>
      </x:c>
      <x:c r="H218" s="41" t="str">
        <x:v>禁止/不得</x:v>
      </x:c>
      <x:c r="I218" s="35" t="str">
        <x:v>脚手架坍塌；高处坠落；物体打击</x:v>
      </x:c>
      <x:c r="J218" s="41" t="str">
        <x:v>重大</x:v>
      </x:c>
      <x:c r="K218" s="35" t="str">
        <x:v>架子工；安全员；施工员；班组长</x:v>
      </x:c>
      <x:c r="L218" s="35" t="str">
        <x:v>现场目视+尺寸/仪器测量</x:v>
      </x:c>
      <x:c r="M218" s="35" t="str">
        <x:v>建筑施工脚手架安全技术统一标准</x:v>
      </x:c>
      <x:c r="N218" s="35" t="str">
        <x:v>GB 51210-2016</x:v>
      </x:c>
      <x:c r="O218" s="35" t="str">
        <x:v>国家标准（部分条文强制）</x:v>
      </x:c>
      <x:c r="P218" s="35" t="str">
        <x:v>现行；与GB 55023-2022冲突时以后者为准</x:v>
      </x:c>
      <x:c r="Q218" s="35" t="str">
        <x:v>8.2.1</x:v>
      </x:c>
      <x:c r="R218" s="35" t="str">
        <x:v>8.2.1 作业脚手架的宽度不应小于 0.8m,且不宜大于 1.2m。 作业层高度不应小于 1.7m,且不宜大于 2.0m</x:v>
      </x:c>
      <x:c r="S218" s="41" t="n">
        <x:v>50</x:v>
      </x:c>
      <x:c r="T218" s="44" t="n">
        <x:v>39</x:v>
      </x:c>
    </x:row>
    <x:row r="219" ht="56" customHeight="1">
      <x:c r="A219" s="40" t="str">
        <x:v>JSJ-028</x:v>
      </x:c>
      <x:c r="B219" s="41" t="str">
        <x:v>启用</x:v>
      </x:c>
      <x:c r="C219" s="35" t="str">
        <x:v>施工脚手架</x:v>
      </x:c>
      <x:c r="D219" s="35" t="str">
        <x:v>连墙件设置</x:v>
      </x:c>
      <x:c r="E219" s="35" t="str">
        <x:v>搭设、使用、检查或拆除施工脚手架时</x:v>
      </x:c>
      <x:c r="F219" s="35" t="str">
        <x:v>连墙件应采用能承受压力和拉力的构造，并与建筑结构和架体连接牢固</x:v>
      </x:c>
      <x:c r="G219" s="35" t="str">
        <x:v>无明确数值；按文本要求判断</x:v>
      </x:c>
      <x:c r="H219" s="41" t="str">
        <x:v>应执行</x:v>
      </x:c>
      <x:c r="I219" s="35" t="str">
        <x:v>脚手架坍塌；高处坠落；物体打击</x:v>
      </x:c>
      <x:c r="J219" s="41" t="str">
        <x:v>重大</x:v>
      </x:c>
      <x:c r="K219" s="35" t="str">
        <x:v>架子工；安全员；施工员；班组长</x:v>
      </x:c>
      <x:c r="L219" s="35" t="str">
        <x:v>现场检查+人工确认</x:v>
      </x:c>
      <x:c r="M219" s="35" t="str">
        <x:v>建筑施工脚手架安全技术统一标准</x:v>
      </x:c>
      <x:c r="N219" s="35" t="str">
        <x:v>GB 51210-2016</x:v>
      </x:c>
      <x:c r="O219" s="35" t="str">
        <x:v>国家标准（部分条文强制）</x:v>
      </x:c>
      <x:c r="P219" s="35" t="str">
        <x:v>现行；与GB 55023-2022冲突时以后者为准</x:v>
      </x:c>
      <x:c r="Q219" s="35" t="str">
        <x:v>8.2.2</x:v>
      </x:c>
      <x:c r="R219" s="35" t="str">
        <x:v>8.2.2 作业脚手架应按设计计算和构造要求设置连墙件,并应 符合下列规定: 1 连墙件应采用能承受压力和拉力的构造,并应与建筑结 构和架体连接牢固; Z 连墙点的水平间距不得超过 3 跨,竖向间距不得超过 3 步,连墙点之上架体的悬臂高度不应超过 2 步, 3 在架体的转角处、开口型作业脚手架端部应增设连墙件, 39 连墙件的垂直间距不应大于建筑物层高,且不应大于 4.0m</x:v>
      </x:c>
      <x:c r="S219" s="41" t="n">
        <x:v>50</x:v>
      </x:c>
      <x:c r="T219" s="44" t="n">
        <x:v>39</x:v>
      </x:c>
    </x:row>
    <x:row r="220" ht="56" customHeight="1">
      <x:c r="A220" s="40" t="str">
        <x:v>JSJ-029</x:v>
      </x:c>
      <x:c r="B220" s="41" t="str">
        <x:v>启用</x:v>
      </x:c>
      <x:c r="C220" s="35" t="str">
        <x:v>施工脚手架</x:v>
      </x:c>
      <x:c r="D220" s="35" t="str">
        <x:v>连墙件设置</x:v>
      </x:c>
      <x:c r="E220" s="35" t="str">
        <x:v>搭设、使用、检查或拆除施工脚手架时</x:v>
      </x:c>
      <x:c r="F220" s="35" t="str">
        <x:v>连墙点水平间距不得超过3跨，竖向间距不得超过3步</x:v>
      </x:c>
      <x:c r="G220" s="35" t="str">
        <x:v>3跨；3步</x:v>
      </x:c>
      <x:c r="H220" s="41" t="str">
        <x:v>禁止/不得</x:v>
      </x:c>
      <x:c r="I220" s="35" t="str">
        <x:v>脚手架坍塌；高处坠落；物体打击</x:v>
      </x:c>
      <x:c r="J220" s="41" t="str">
        <x:v>重大</x:v>
      </x:c>
      <x:c r="K220" s="35" t="str">
        <x:v>架子工；安全员；施工员；班组长</x:v>
      </x:c>
      <x:c r="L220" s="35" t="str">
        <x:v>现场目视+尺寸/仪器测量</x:v>
      </x:c>
      <x:c r="M220" s="35" t="str">
        <x:v>建筑施工脚手架安全技术统一标准</x:v>
      </x:c>
      <x:c r="N220" s="35" t="str">
        <x:v>GB 51210-2016</x:v>
      </x:c>
      <x:c r="O220" s="35" t="str">
        <x:v>国家标准（部分条文强制）</x:v>
      </x:c>
      <x:c r="P220" s="35" t="str">
        <x:v>现行；与GB 55023-2022冲突时以后者为准</x:v>
      </x:c>
      <x:c r="Q220" s="35" t="str">
        <x:v>8.2.2</x:v>
      </x:c>
      <x:c r="R220" s="35" t="str">
        <x:v>8.2.2 作业脚手架应按设计计算和构造要求设置连墙件,并应 符合下列规定: 1 连墙件应采用能承受压力和拉力的构造,并应与建筑结 构和架体连接牢固; Z 连墙点的水平间距不得超过 3 跨,竖向间距不得超过 3 步,连墙点之上架体的悬臂高度不应超过 2 步, 3 在架体的转角处、开口型作业脚手架端部应增设连墙件, 39 连墙件的垂直间距不应大于建筑物层高,且不应大于 4.0m</x:v>
      </x:c>
      <x:c r="S220" s="41" t="n">
        <x:v>50</x:v>
      </x:c>
      <x:c r="T220" s="44" t="n">
        <x:v>39</x:v>
      </x:c>
    </x:row>
    <x:row r="221" ht="56" customHeight="1">
      <x:c r="A221" s="40" t="str">
        <x:v>JSJ-030</x:v>
      </x:c>
      <x:c r="B221" s="41" t="str">
        <x:v>启用</x:v>
      </x:c>
      <x:c r="C221" s="35" t="str">
        <x:v>施工脚手架</x:v>
      </x:c>
      <x:c r="D221" s="35" t="str">
        <x:v>连墙件设置</x:v>
      </x:c>
      <x:c r="E221" s="35" t="str">
        <x:v>搭设、使用、检查或拆除施工脚手架时</x:v>
      </x:c>
      <x:c r="F221" s="35" t="str">
        <x:v>连墙点之上架体的悬臂高度不应超过2步</x:v>
      </x:c>
      <x:c r="G221" s="35" t="str">
        <x:v>2步</x:v>
      </x:c>
      <x:c r="H221" s="41" t="str">
        <x:v>禁止/不得</x:v>
      </x:c>
      <x:c r="I221" s="35" t="str">
        <x:v>脚手架坍塌；高处坠落；物体打击</x:v>
      </x:c>
      <x:c r="J221" s="41" t="str">
        <x:v>重大</x:v>
      </x:c>
      <x:c r="K221" s="35" t="str">
        <x:v>架子工；安全员；施工员；班组长</x:v>
      </x:c>
      <x:c r="L221" s="35" t="str">
        <x:v>现场目视+尺寸/仪器测量</x:v>
      </x:c>
      <x:c r="M221" s="35" t="str">
        <x:v>建筑施工脚手架安全技术统一标准</x:v>
      </x:c>
      <x:c r="N221" s="35" t="str">
        <x:v>GB 51210-2016</x:v>
      </x:c>
      <x:c r="O221" s="35" t="str">
        <x:v>国家标准（部分条文强制）</x:v>
      </x:c>
      <x:c r="P221" s="35" t="str">
        <x:v>现行；与GB 55023-2022冲突时以后者为准</x:v>
      </x:c>
      <x:c r="Q221" s="35" t="str">
        <x:v>8.2.2</x:v>
      </x:c>
      <x:c r="R221" s="35" t="str">
        <x:v>8.2.2 作业脚手架应按设计计算和构造要求设置连墙件,并应 符合下列规定: 1 连墙件应采用能承受压力和拉力的构造,并应与建筑结 构和架体连接牢固; Z 连墙点的水平间距不得超过 3 跨,竖向间距不得超过 3 步,连墙点之上架体的悬臂高度不应超过 2 步, 3 在架体的转角处、开口型作业脚手架端部应增设连墙件, 39 连墙件的垂直间距不应大于建筑物层高,且不应大于 4.0m</x:v>
      </x:c>
      <x:c r="S221" s="41" t="n">
        <x:v>50</x:v>
      </x:c>
      <x:c r="T221" s="44" t="n">
        <x:v>39</x:v>
      </x:c>
    </x:row>
    <x:row r="222" ht="56" customHeight="1">
      <x:c r="A222" s="40" t="str">
        <x:v>JSJ-031</x:v>
      </x:c>
      <x:c r="B222" s="41" t="str">
        <x:v>启用</x:v>
      </x:c>
      <x:c r="C222" s="35" t="str">
        <x:v>施工脚手架</x:v>
      </x:c>
      <x:c r="D222" s="35" t="str">
        <x:v>连墙件设置</x:v>
      </x:c>
      <x:c r="E222" s="35" t="str">
        <x:v>搭设、使用、检查或拆除施工脚手架时</x:v>
      </x:c>
      <x:c r="F222" s="35" t="str">
        <x:v>架体转角处和开口型作业脚手架端部应增设连墙件</x:v>
      </x:c>
      <x:c r="G222" s="35" t="str">
        <x:v>无明确数值；按文本要求判断</x:v>
      </x:c>
      <x:c r="H222" s="41" t="str">
        <x:v>应执行</x:v>
      </x:c>
      <x:c r="I222" s="35" t="str">
        <x:v>脚手架坍塌；高处坠落；物体打击</x:v>
      </x:c>
      <x:c r="J222" s="41" t="str">
        <x:v>较大</x:v>
      </x:c>
      <x:c r="K222" s="35" t="str">
        <x:v>架子工；安全员；施工员；班组长</x:v>
      </x:c>
      <x:c r="L222" s="35" t="str">
        <x:v>现场检查+人工确认</x:v>
      </x:c>
      <x:c r="M222" s="35" t="str">
        <x:v>建筑施工脚手架安全技术统一标准</x:v>
      </x:c>
      <x:c r="N222" s="35" t="str">
        <x:v>GB 51210-2016</x:v>
      </x:c>
      <x:c r="O222" s="35" t="str">
        <x:v>国家标准（部分条文强制）</x:v>
      </x:c>
      <x:c r="P222" s="35" t="str">
        <x:v>现行；与GB 55023-2022冲突时以后者为准</x:v>
      </x:c>
      <x:c r="Q222" s="35" t="str">
        <x:v>8.2.2</x:v>
      </x:c>
      <x:c r="R222" s="35" t="str">
        <x:v>8.2.2 作业脚手架应按设计计算和构造要求设置连墙件,并应 符合下列规定: 1 连墙件应采用能承受压力和拉力的构造,并应与建筑结 构和架体连接牢固; Z 连墙点的水平间距不得超过 3 跨,竖向间距不得超过 3 步,连墙点之上架体的悬臂高度不应超过 2 步, 3 在架体的转角处、开口型作业脚手架端部应增设连墙件, 39 连墙件的垂直间距不应大于建筑物层高,且不应大于 4.0m</x:v>
      </x:c>
      <x:c r="S222" s="41" t="n">
        <x:v>50</x:v>
      </x:c>
      <x:c r="T222" s="44" t="n">
        <x:v>39</x:v>
      </x:c>
    </x:row>
    <x:row r="223" ht="56" customHeight="1">
      <x:c r="A223" s="40" t="str">
        <x:v>JSJ-032</x:v>
      </x:c>
      <x:c r="B223" s="41" t="str">
        <x:v>启用</x:v>
      </x:c>
      <x:c r="C223" s="35" t="str">
        <x:v>施工脚手架</x:v>
      </x:c>
      <x:c r="D223" s="35" t="str">
        <x:v>连墙件设置</x:v>
      </x:c>
      <x:c r="E223" s="35" t="str">
        <x:v>搭设、使用、检查或拆除施工脚手架时</x:v>
      </x:c>
      <x:c r="F223" s="35" t="str">
        <x:v>连墙件垂直间距不应大于建筑物层高，且不应大于4.0m</x:v>
      </x:c>
      <x:c r="G223" s="35" t="str">
        <x:v>4.0m</x:v>
      </x:c>
      <x:c r="H223" s="41" t="str">
        <x:v>禁止/不得</x:v>
      </x:c>
      <x:c r="I223" s="35" t="str">
        <x:v>脚手架坍塌；高处坠落；物体打击</x:v>
      </x:c>
      <x:c r="J223" s="41" t="str">
        <x:v>重大</x:v>
      </x:c>
      <x:c r="K223" s="35" t="str">
        <x:v>架子工；安全员；施工员；班组长</x:v>
      </x:c>
      <x:c r="L223" s="35" t="str">
        <x:v>现场目视+尺寸/仪器测量</x:v>
      </x:c>
      <x:c r="M223" s="35" t="str">
        <x:v>建筑施工脚手架安全技术统一标准</x:v>
      </x:c>
      <x:c r="N223" s="35" t="str">
        <x:v>GB 51210-2016</x:v>
      </x:c>
      <x:c r="O223" s="35" t="str">
        <x:v>国家标准（部分条文强制）</x:v>
      </x:c>
      <x:c r="P223" s="35" t="str">
        <x:v>现行；与GB 55023-2022冲突时以后者为准</x:v>
      </x:c>
      <x:c r="Q223" s="35" t="str">
        <x:v>8.2.2</x:v>
      </x:c>
      <x:c r="R223" s="35" t="str">
        <x:v>8.2.2 作业脚手架应按设计计算和构造要求设置连墙件,并应 符合下列规定: 1 连墙件应采用能承受压力和拉力的构造,并应与建筑结 构和架体连接牢固; Z 连墙点的水平间距不得超过 3 跨,竖向间距不得超过 3 步,连墙点之上架体的悬臂高度不应超过 2 步, 3 在架体的转角处、开口型作业脚手架端部应增设连墙件, 39 连墙件的垂直间距不应大于建筑物层高,且不应大于 4.0m</x:v>
      </x:c>
      <x:c r="S223" s="41" t="n">
        <x:v>50</x:v>
      </x:c>
      <x:c r="T223" s="44" t="n">
        <x:v>39</x:v>
      </x:c>
    </x:row>
    <x:row r="224" ht="56" customHeight="1">
      <x:c r="A224" s="40" t="str">
        <x:v>JSJ-033</x:v>
      </x:c>
      <x:c r="B224" s="41" t="str">
        <x:v>启用</x:v>
      </x:c>
      <x:c r="C224" s="35" t="str">
        <x:v>施工脚手架</x:v>
      </x:c>
      <x:c r="D224" s="35" t="str">
        <x:v>竖向剪刀撑设置</x:v>
      </x:c>
      <x:c r="E224" s="35" t="str">
        <x:v>搭设、使用、检查或拆除施工脚手架时</x:v>
      </x:c>
      <x:c r="F224" s="35" t="str">
        <x:v>每道竖向剪刀撑宽度应为4跨至6跨，且应为6m至9m；斜杆与水平面倾角应为45°至60°</x:v>
      </x:c>
      <x:c r="G224" s="35" t="str">
        <x:v>4跨；6跨；6m；9m；45°；60°</x:v>
      </x:c>
      <x:c r="H224" s="41" t="str">
        <x:v>应执行</x:v>
      </x:c>
      <x:c r="I224" s="35" t="str">
        <x:v>脚手架坍塌；高处坠落；物体打击</x:v>
      </x:c>
      <x:c r="J224" s="41" t="str">
        <x:v>较大</x:v>
      </x:c>
      <x:c r="K224" s="35" t="str">
        <x:v>架子工；安全员；施工员；班组长</x:v>
      </x:c>
      <x:c r="L224" s="35" t="str">
        <x:v>现场目视+尺寸/仪器测量</x:v>
      </x:c>
      <x:c r="M224" s="35" t="str">
        <x:v>建筑施工脚手架安全技术统一标准</x:v>
      </x:c>
      <x:c r="N224" s="35" t="str">
        <x:v>GB 51210-2016</x:v>
      </x:c>
      <x:c r="O224" s="35" t="str">
        <x:v>国家标准（部分条文强制）</x:v>
      </x:c>
      <x:c r="P224" s="35" t="str">
        <x:v>现行；与GB 55023-2022冲突时以后者为准</x:v>
      </x:c>
      <x:c r="Q224" s="35" t="str">
        <x:v>8.2.3</x:v>
      </x:c>
      <x:c r="R224" s="35" t="str">
        <x:v>8.2.3 在作业脚手架的纵向外侧立面上应设置竖向剪刀撑,并 应符合下列规定1 每道剪刀撑的宽度应为 4 跨~6 跨,且不应小于 6m,也 不应大于 9m;剪刀撑斜杆与水平面的倾角应在 45'~60'之间; 2 搭设高度在 24m 以下时,应在架体两端、转角及中 间每隔不超过 15m 各设置一道剪刀撑,并由底至顶连续设 置;搭设高度在 24m 及以上时,应在全外侧立面上由底至顶 连续设置; 3 悬挑脚手架、附着式升降脚手架应在全外侧立面上由底 至顶连续设置</x:v>
      </x:c>
      <x:c r="S224" s="41" t="n">
        <x:v>51</x:v>
      </x:c>
      <x:c r="T224" s="44" t="n">
        <x:v>40</x:v>
      </x:c>
    </x:row>
    <x:row r="225" ht="56" customHeight="1">
      <x:c r="A225" s="40" t="str">
        <x:v>JSJ-034</x:v>
      </x:c>
      <x:c r="B225" s="41" t="str">
        <x:v>启用</x:v>
      </x:c>
      <x:c r="C225" s="35" t="str">
        <x:v>施工脚手架</x:v>
      </x:c>
      <x:c r="D225" s="35" t="str">
        <x:v>竖向剪刀撑设置</x:v>
      </x:c>
      <x:c r="E225" s="35" t="str">
        <x:v>搭设、使用、检查或拆除施工脚手架时</x:v>
      </x:c>
      <x:c r="F225" s="35" t="str">
        <x:v>搭设高度24m以下时，应在架体两端、转角及中间每隔不超过15m设置一道剪刀撑，并由底至顶连续设置</x:v>
      </x:c>
      <x:c r="G225" s="35" t="str">
        <x:v>24m；15m</x:v>
      </x:c>
      <x:c r="H225" s="41" t="str">
        <x:v>应执行</x:v>
      </x:c>
      <x:c r="I225" s="35" t="str">
        <x:v>脚手架坍塌；高处坠落；物体打击</x:v>
      </x:c>
      <x:c r="J225" s="41" t="str">
        <x:v>较大</x:v>
      </x:c>
      <x:c r="K225" s="35" t="str">
        <x:v>架子工；安全员；施工员；班组长</x:v>
      </x:c>
      <x:c r="L225" s="35" t="str">
        <x:v>现场目视+尺寸/仪器测量</x:v>
      </x:c>
      <x:c r="M225" s="35" t="str">
        <x:v>建筑施工脚手架安全技术统一标准</x:v>
      </x:c>
      <x:c r="N225" s="35" t="str">
        <x:v>GB 51210-2016</x:v>
      </x:c>
      <x:c r="O225" s="35" t="str">
        <x:v>国家标准（部分条文强制）</x:v>
      </x:c>
      <x:c r="P225" s="35" t="str">
        <x:v>现行；与GB 55023-2022冲突时以后者为准</x:v>
      </x:c>
      <x:c r="Q225" s="35" t="str">
        <x:v>8.2.3</x:v>
      </x:c>
      <x:c r="R225" s="35" t="str">
        <x:v>8.2.3 在作业脚手架的纵向外侧立面上应设置竖向剪刀撑,并 应符合下列规定1 每道剪刀撑的宽度应为 4 跨~6 跨,且不应小于 6m,也 不应大于 9m;剪刀撑斜杆与水平面的倾角应在 45'~60'之间; 2 搭设高度在 24m 以下时,应在架体两端、转角及中 间每隔不超过 15m 各设置一道剪刀撑,并由底至顶连续设 置;搭设高度在 24m 及以上时,应在全外侧立面上由底至顶 连续设置; 3 悬挑脚手架、附着式升降脚手架应在全外侧立面上由底 至顶连续设置</x:v>
      </x:c>
      <x:c r="S225" s="41" t="n">
        <x:v>51</x:v>
      </x:c>
      <x:c r="T225" s="44" t="n">
        <x:v>40</x:v>
      </x:c>
    </x:row>
    <x:row r="226" ht="56" customHeight="1">
      <x:c r="A226" s="40" t="str">
        <x:v>JSJ-035</x:v>
      </x:c>
      <x:c r="B226" s="41" t="str">
        <x:v>启用</x:v>
      </x:c>
      <x:c r="C226" s="35" t="str">
        <x:v>施工脚手架</x:v>
      </x:c>
      <x:c r="D226" s="35" t="str">
        <x:v>竖向剪刀撑设置</x:v>
      </x:c>
      <x:c r="E226" s="35" t="str">
        <x:v>搭设、使用、检查或拆除施工脚手架时</x:v>
      </x:c>
      <x:c r="F226" s="35" t="str">
        <x:v>搭设高度24m及以上时，应在全外侧立面由底至顶连续设置剪刀撑</x:v>
      </x:c>
      <x:c r="G226" s="35" t="str">
        <x:v>24m</x:v>
      </x:c>
      <x:c r="H226" s="41" t="str">
        <x:v>应执行</x:v>
      </x:c>
      <x:c r="I226" s="35" t="str">
        <x:v>脚手架坍塌；高处坠落；物体打击</x:v>
      </x:c>
      <x:c r="J226" s="41" t="str">
        <x:v>较大</x:v>
      </x:c>
      <x:c r="K226" s="35" t="str">
        <x:v>架子工；安全员；施工员；班组长</x:v>
      </x:c>
      <x:c r="L226" s="35" t="str">
        <x:v>现场目视+尺寸/仪器测量</x:v>
      </x:c>
      <x:c r="M226" s="35" t="str">
        <x:v>建筑施工脚手架安全技术统一标准</x:v>
      </x:c>
      <x:c r="N226" s="35" t="str">
        <x:v>GB 51210-2016</x:v>
      </x:c>
      <x:c r="O226" s="35" t="str">
        <x:v>国家标准（部分条文强制）</x:v>
      </x:c>
      <x:c r="P226" s="35" t="str">
        <x:v>现行；与GB 55023-2022冲突时以后者为准</x:v>
      </x:c>
      <x:c r="Q226" s="35" t="str">
        <x:v>8.2.3</x:v>
      </x:c>
      <x:c r="R226" s="35" t="str">
        <x:v>8.2.3 在作业脚手架的纵向外侧立面上应设置竖向剪刀撑,并 应符合下列规定1 每道剪刀撑的宽度应为 4 跨~6 跨,且不应小于 6m,也 不应大于 9m;剪刀撑斜杆与水平面的倾角应在 45'~60'之间; 2 搭设高度在 24m 以下时,应在架体两端、转角及中 间每隔不超过 15m 各设置一道剪刀撑,并由底至顶连续设 置;搭设高度在 24m 及以上时,应在全外侧立面上由底至顶 连续设置; 3 悬挑脚手架、附着式升降脚手架应在全外侧立面上由底 至顶连续设置</x:v>
      </x:c>
      <x:c r="S226" s="41" t="n">
        <x:v>51</x:v>
      </x:c>
      <x:c r="T226" s="44" t="n">
        <x:v>40</x:v>
      </x:c>
    </x:row>
    <x:row r="227" ht="56" customHeight="1">
      <x:c r="A227" s="40" t="str">
        <x:v>JSJ-036</x:v>
      </x:c>
      <x:c r="B227" s="41" t="str">
        <x:v>启用</x:v>
      </x:c>
      <x:c r="C227" s="35" t="str">
        <x:v>施工脚手架</x:v>
      </x:c>
      <x:c r="D227" s="35" t="str">
        <x:v>竖向剪刀撑设置</x:v>
      </x:c>
      <x:c r="E227" s="35" t="str">
        <x:v>搭设、使用、检查或拆除施工脚手架时</x:v>
      </x:c>
      <x:c r="F227" s="35" t="str">
        <x:v>悬挑脚手架和附着式升降脚手架应在全外侧立面由底至顶连续设置剪刀撑</x:v>
      </x:c>
      <x:c r="G227" s="35" t="str">
        <x:v>无明确数值；按文本要求判断</x:v>
      </x:c>
      <x:c r="H227" s="41" t="str">
        <x:v>应执行</x:v>
      </x:c>
      <x:c r="I227" s="35" t="str">
        <x:v>脚手架坍塌；高处坠落；物体打击</x:v>
      </x:c>
      <x:c r="J227" s="41" t="str">
        <x:v>较大</x:v>
      </x:c>
      <x:c r="K227" s="35" t="str">
        <x:v>架子工；安全员；施工员；班组长</x:v>
      </x:c>
      <x:c r="L227" s="35" t="str">
        <x:v>现场检查+人工确认</x:v>
      </x:c>
      <x:c r="M227" s="35" t="str">
        <x:v>建筑施工脚手架安全技术统一标准</x:v>
      </x:c>
      <x:c r="N227" s="35" t="str">
        <x:v>GB 51210-2016</x:v>
      </x:c>
      <x:c r="O227" s="35" t="str">
        <x:v>国家标准（部分条文强制）</x:v>
      </x:c>
      <x:c r="P227" s="35" t="str">
        <x:v>现行；与GB 55023-2022冲突时以后者为准</x:v>
      </x:c>
      <x:c r="Q227" s="35" t="str">
        <x:v>8.2.3</x:v>
      </x:c>
      <x:c r="R227" s="35" t="str">
        <x:v>8.2.3 在作业脚手架的纵向外侧立面上应设置竖向剪刀撑,并 应符合下列规定1 每道剪刀撑的宽度应为 4 跨~6 跨,且不应小于 6m,也 不应大于 9m;剪刀撑斜杆与水平面的倾角应在 45'~60'之间; 2 搭设高度在 24m 以下时,应在架体两端、转角及中 间每隔不超过 15m 各设置一道剪刀撑,并由底至顶连续设 置;搭设高度在 24m 及以上时,应在全外侧立面上由底至顶 连续设置; 3 悬挑脚手架、附着式升降脚手架应在全外侧立面上由底 至顶连续设置</x:v>
      </x:c>
      <x:c r="S227" s="41" t="n">
        <x:v>51</x:v>
      </x:c>
      <x:c r="T227" s="44" t="n">
        <x:v>40</x:v>
      </x:c>
    </x:row>
    <x:row r="228" ht="56" customHeight="1">
      <x:c r="A228" s="40" t="str">
        <x:v>JSJ-037</x:v>
      </x:c>
      <x:c r="B228" s="41" t="str">
        <x:v>启用</x:v>
      </x:c>
      <x:c r="C228" s="35" t="str">
        <x:v>施工脚手架</x:v>
      </x:c>
      <x:c r="D228" s="35" t="str">
        <x:v>扫地杆设置</x:v>
      </x:c>
      <x:c r="E228" s="35" t="str">
        <x:v>搭设、使用、检查或拆除施工脚手架时</x:v>
      </x:c>
      <x:c r="F228" s="35" t="str">
        <x:v>作业脚手架底部立杆上应设置纵向和横向扫地杆</x:v>
      </x:c>
      <x:c r="G228" s="35" t="str">
        <x:v>无明确数值；按文本要求判断</x:v>
      </x:c>
      <x:c r="H228" s="41" t="str">
        <x:v>应执行</x:v>
      </x:c>
      <x:c r="I228" s="35" t="str">
        <x:v>脚手架坍塌；高处坠落；物体打击</x:v>
      </x:c>
      <x:c r="J228" s="41" t="str">
        <x:v>较大</x:v>
      </x:c>
      <x:c r="K228" s="35" t="str">
        <x:v>架子工；安全员；施工员；班组长</x:v>
      </x:c>
      <x:c r="L228" s="35" t="str">
        <x:v>现场检查+人工确认</x:v>
      </x:c>
      <x:c r="M228" s="35" t="str">
        <x:v>建筑施工脚手架安全技术统一标准</x:v>
      </x:c>
      <x:c r="N228" s="35" t="str">
        <x:v>GB 51210-2016</x:v>
      </x:c>
      <x:c r="O228" s="35" t="str">
        <x:v>国家标准（部分条文强制）</x:v>
      </x:c>
      <x:c r="P228" s="35" t="str">
        <x:v>现行；与GB 55023-2022冲突时以后者为准</x:v>
      </x:c>
      <x:c r="Q228" s="35" t="str">
        <x:v>8.2.5</x:v>
      </x:c>
      <x:c r="R228" s="35" t="str">
        <x:v>8.2.5 作业脚手架底部立杆上应设置纵向和横向扫地杆</x:v>
      </x:c>
      <x:c r="S228" s="41" t="n">
        <x:v>52</x:v>
      </x:c>
      <x:c r="T228" s="44" t="n">
        <x:v>41</x:v>
      </x:c>
    </x:row>
    <x:row r="229" ht="56" customHeight="1">
      <x:c r="A229" s="40" t="str">
        <x:v>JSJ-038</x:v>
      </x:c>
      <x:c r="B229" s="41" t="str">
        <x:v>启用</x:v>
      </x:c>
      <x:c r="C229" s="35" t="str">
        <x:v>施工脚手架</x:v>
      </x:c>
      <x:c r="D229" s="35" t="str">
        <x:v>悬挑脚手架构造</x:v>
      </x:c>
      <x:c r="E229" s="35" t="str">
        <x:v>搭设、使用、检查或拆除施工脚手架时</x:v>
      </x:c>
      <x:c r="F229" s="35" t="str">
        <x:v>悬挑脚手架立杆底部应与悬挑支承结构可靠连接</x:v>
      </x:c>
      <x:c r="G229" s="35" t="str">
        <x:v>无明确数值；按文本要求判断</x:v>
      </x:c>
      <x:c r="H229" s="41" t="str">
        <x:v>应执行</x:v>
      </x:c>
      <x:c r="I229" s="35" t="str">
        <x:v>脚手架坍塌；高处坠落；物体打击</x:v>
      </x:c>
      <x:c r="J229" s="41" t="str">
        <x:v>较大</x:v>
      </x:c>
      <x:c r="K229" s="35" t="str">
        <x:v>架子工；安全员；施工员；班组长</x:v>
      </x:c>
      <x:c r="L229" s="35" t="str">
        <x:v>现场检查+人工确认</x:v>
      </x:c>
      <x:c r="M229" s="35" t="str">
        <x:v>建筑施工脚手架安全技术统一标准</x:v>
      </x:c>
      <x:c r="N229" s="35" t="str">
        <x:v>GB 51210-2016</x:v>
      </x:c>
      <x:c r="O229" s="35" t="str">
        <x:v>国家标准（部分条文强制）</x:v>
      </x:c>
      <x:c r="P229" s="35" t="str">
        <x:v>现行；与GB 55023-2022冲突时以后者为准</x:v>
      </x:c>
      <x:c r="Q229" s="35" t="str">
        <x:v>8.2.6</x:v>
      </x:c>
      <x:c r="R229" s="35" t="str">
        <x:v>8.2.6 悬挑脚手架立杆底部应与悬挑支承结构可靠连接;应在 立杆底部设置纵向扫地杆,并应间断设置水平剪刀撑或水平斜 撑杆</x:v>
      </x:c>
      <x:c r="S229" s="41" t="n">
        <x:v>52</x:v>
      </x:c>
      <x:c r="T229" s="44" t="n">
        <x:v>41</x:v>
      </x:c>
    </x:row>
    <x:row r="230" ht="56" customHeight="1">
      <x:c r="A230" s="40" t="str">
        <x:v>JSJ-039</x:v>
      </x:c>
      <x:c r="B230" s="41" t="str">
        <x:v>启用</x:v>
      </x:c>
      <x:c r="C230" s="35" t="str">
        <x:v>施工脚手架</x:v>
      </x:c>
      <x:c r="D230" s="35" t="str">
        <x:v>悬挑脚手架构造</x:v>
      </x:c>
      <x:c r="E230" s="35" t="str">
        <x:v>搭设、使用、检查或拆除施工脚手架时</x:v>
      </x:c>
      <x:c r="F230" s="35" t="str">
        <x:v>悬挑脚手架应在立杆底部设置纵向扫地杆，并间断设置水平剪刀撑或水平斜撑杆</x:v>
      </x:c>
      <x:c r="G230" s="35" t="str">
        <x:v>无明确数值；按文本要求判断</x:v>
      </x:c>
      <x:c r="H230" s="41" t="str">
        <x:v>应执行</x:v>
      </x:c>
      <x:c r="I230" s="35" t="str">
        <x:v>脚手架坍塌；高处坠落；物体打击</x:v>
      </x:c>
      <x:c r="J230" s="41" t="str">
        <x:v>较大</x:v>
      </x:c>
      <x:c r="K230" s="35" t="str">
        <x:v>架子工；安全员；施工员；班组长</x:v>
      </x:c>
      <x:c r="L230" s="35" t="str">
        <x:v>现场检查+人工确认</x:v>
      </x:c>
      <x:c r="M230" s="35" t="str">
        <x:v>建筑施工脚手架安全技术统一标准</x:v>
      </x:c>
      <x:c r="N230" s="35" t="str">
        <x:v>GB 51210-2016</x:v>
      </x:c>
      <x:c r="O230" s="35" t="str">
        <x:v>国家标准（部分条文强制）</x:v>
      </x:c>
      <x:c r="P230" s="35" t="str">
        <x:v>现行；与GB 55023-2022冲突时以后者为准</x:v>
      </x:c>
      <x:c r="Q230" s="35" t="str">
        <x:v>8.2.6</x:v>
      </x:c>
      <x:c r="R230" s="35" t="str">
        <x:v>8.2.6 悬挑脚手架立杆底部应与悬挑支承结构可靠连接;应在 立杆底部设置纵向扫地杆,并应间断设置水平剪刀撑或水平斜 撑杆</x:v>
      </x:c>
      <x:c r="S230" s="41" t="n">
        <x:v>52</x:v>
      </x:c>
      <x:c r="T230" s="44" t="n">
        <x:v>41</x:v>
      </x:c>
    </x:row>
    <x:row r="231" ht="56" customHeight="1">
      <x:c r="A231" s="40" t="str">
        <x:v>JSJ-040</x:v>
      </x:c>
      <x:c r="B231" s="41" t="str">
        <x:v>启用</x:v>
      </x:c>
      <x:c r="C231" s="35" t="str">
        <x:v>附着式升降脚手架</x:v>
      </x:c>
      <x:c r="D231" s="35" t="str">
        <x:v>安全装置配置</x:v>
      </x:c>
      <x:c r="E231" s="35" t="str">
        <x:v>搭设、使用、检查或拆除施工脚手架时</x:v>
      </x:c>
      <x:c r="F231" s="35" t="str">
        <x:v>附着式升降脚手架应设置防倾、防坠、超载、失载和同步升降控制装置，各类装置应灵敏可靠</x:v>
      </x:c>
      <x:c r="G231" s="35" t="str">
        <x:v>无明确数值；按文本要求判断</x:v>
      </x:c>
      <x:c r="H231" s="41" t="str">
        <x:v>应执行</x:v>
      </x:c>
      <x:c r="I231" s="35" t="str">
        <x:v>脚手架坍塌；高处坠落；物体打击</x:v>
      </x:c>
      <x:c r="J231" s="41" t="str">
        <x:v>重大</x:v>
      </x:c>
      <x:c r="K231" s="35" t="str">
        <x:v>架子工；安全员；施工员；班组长</x:v>
      </x:c>
      <x:c r="L231" s="35" t="str">
        <x:v>现场检查+人工确认</x:v>
      </x:c>
      <x:c r="M231" s="35" t="str">
        <x:v>建筑施工脚手架安全技术统一标准</x:v>
      </x:c>
      <x:c r="N231" s="35" t="str">
        <x:v>GB 51210-2016</x:v>
      </x:c>
      <x:c r="O231" s="35" t="str">
        <x:v>国家标准（部分条文强制）</x:v>
      </x:c>
      <x:c r="P231" s="35" t="str">
        <x:v>现行；与GB 55023-2022冲突时以后者为准</x:v>
      </x:c>
      <x:c r="Q231" s="35" t="str">
        <x:v>8.2.7</x:v>
      </x:c>
      <x:c r="R231" s="35" t="str">
        <x:v>8.2.7 附着式升降脚手架应符合下列规定: 1 竖向主框架、水平支承衍架应采用衍架或刚架结构,杆 件应采用焊接或螺栓连接; 2 应设有防倾、防坠、超载、失载、同步升降控制装置, 各类装置应灵敏可靠; 3 在竖向主框架所覆盖的每个楼层均应设置一道附墙支座; 每道附墙支座应能承担该机位的全部荷载;在使用工况时,竖向 主框架应与附墙支座可靠固定; 4 当采用电动升降设备时,电动升降设备连续升降距离应 大于一个楼层高度,并应有可靠的制动和定位功能; 5 防坠落装置与升降设备的附着固定应分别设置,不得固 定在同一附着支座上</x:v>
      </x:c>
      <x:c r="S231" s="41" t="n">
        <x:v>52</x:v>
      </x:c>
      <x:c r="T231" s="44" t="n">
        <x:v>41</x:v>
      </x:c>
    </x:row>
    <x:row r="232" ht="56" customHeight="1">
      <x:c r="A232" s="40" t="str">
        <x:v>JSJ-041</x:v>
      </x:c>
      <x:c r="B232" s="41" t="str">
        <x:v>启用</x:v>
      </x:c>
      <x:c r="C232" s="35" t="str">
        <x:v>附着式升降脚手架</x:v>
      </x:c>
      <x:c r="D232" s="35" t="str">
        <x:v>附墙支座设置</x:v>
      </x:c>
      <x:c r="E232" s="35" t="str">
        <x:v>搭设、使用、检查或拆除施工脚手架时</x:v>
      </x:c>
      <x:c r="F232" s="35" t="str">
        <x:v>附着式升降脚手架竖向主框架覆盖的每个楼层均应设置一道附墙支座</x:v>
      </x:c>
      <x:c r="G232" s="35" t="str">
        <x:v>无明确数值；按文本要求判断</x:v>
      </x:c>
      <x:c r="H232" s="41" t="str">
        <x:v>应执行</x:v>
      </x:c>
      <x:c r="I232" s="35" t="str">
        <x:v>脚手架坍塌；高处坠落；物体打击</x:v>
      </x:c>
      <x:c r="J232" s="41" t="str">
        <x:v>较大</x:v>
      </x:c>
      <x:c r="K232" s="35" t="str">
        <x:v>架子工；安全员；施工员；班组长</x:v>
      </x:c>
      <x:c r="L232" s="35" t="str">
        <x:v>现场检查+人工确认</x:v>
      </x:c>
      <x:c r="M232" s="35" t="str">
        <x:v>建筑施工脚手架安全技术统一标准</x:v>
      </x:c>
      <x:c r="N232" s="35" t="str">
        <x:v>GB 51210-2016</x:v>
      </x:c>
      <x:c r="O232" s="35" t="str">
        <x:v>国家标准（部分条文强制）</x:v>
      </x:c>
      <x:c r="P232" s="35" t="str">
        <x:v>现行；与GB 55023-2022冲突时以后者为准</x:v>
      </x:c>
      <x:c r="Q232" s="35" t="str">
        <x:v>8.2.7</x:v>
      </x:c>
      <x:c r="R232" s="35" t="str">
        <x:v>8.2.7 附着式升降脚手架应符合下列规定: 1 竖向主框架、水平支承衍架应采用衍架或刚架结构,杆 件应采用焊接或螺栓连接; 2 应设有防倾、防坠、超载、失载、同步升降控制装置, 各类装置应灵敏可靠; 3 在竖向主框架所覆盖的每个楼层均应设置一道附墙支座; 每道附墙支座应能承担该机位的全部荷载;在使用工况时,竖向 主框架应与附墙支座可靠固定; 4 当采用电动升降设备时,电动升降设备连续升降距离应 大于一个楼层高度,并应有可靠的制动和定位功能; 5 防坠落装置与升降设备的附着固定应分别设置,不得固 定在同一附着支座上</x:v>
      </x:c>
      <x:c r="S232" s="41" t="n">
        <x:v>52</x:v>
      </x:c>
      <x:c r="T232" s="44" t="n">
        <x:v>41</x:v>
      </x:c>
    </x:row>
    <x:row r="233" ht="56" customHeight="1">
      <x:c r="A233" s="40" t="str">
        <x:v>JSJ-042</x:v>
      </x:c>
      <x:c r="B233" s="41" t="str">
        <x:v>启用</x:v>
      </x:c>
      <x:c r="C233" s="35" t="str">
        <x:v>附着式升降脚手架</x:v>
      </x:c>
      <x:c r="D233" s="35" t="str">
        <x:v>附墙支座设置</x:v>
      </x:c>
      <x:c r="E233" s="35" t="str">
        <x:v>搭设、使用、检查或拆除施工脚手架时</x:v>
      </x:c>
      <x:c r="F233" s="35" t="str">
        <x:v>每道附墙支座应能承担该机位全部荷载，使用工况下竖向主框架应与附墙支座可靠固定</x:v>
      </x:c>
      <x:c r="G233" s="35" t="str">
        <x:v>无明确数值；按文本要求判断</x:v>
      </x:c>
      <x:c r="H233" s="41" t="str">
        <x:v>应执行</x:v>
      </x:c>
      <x:c r="I233" s="35" t="str">
        <x:v>脚手架坍塌；高处坠落；物体打击</x:v>
      </x:c>
      <x:c r="J233" s="41" t="str">
        <x:v>较大</x:v>
      </x:c>
      <x:c r="K233" s="35" t="str">
        <x:v>架子工；安全员；施工员；班组长</x:v>
      </x:c>
      <x:c r="L233" s="35" t="str">
        <x:v>现场检查+人工确认</x:v>
      </x:c>
      <x:c r="M233" s="35" t="str">
        <x:v>建筑施工脚手架安全技术统一标准</x:v>
      </x:c>
      <x:c r="N233" s="35" t="str">
        <x:v>GB 51210-2016</x:v>
      </x:c>
      <x:c r="O233" s="35" t="str">
        <x:v>国家标准（部分条文强制）</x:v>
      </x:c>
      <x:c r="P233" s="35" t="str">
        <x:v>现行；与GB 55023-2022冲突时以后者为准</x:v>
      </x:c>
      <x:c r="Q233" s="35" t="str">
        <x:v>8.2.7</x:v>
      </x:c>
      <x:c r="R233" s="35" t="str">
        <x:v>8.2.7 附着式升降脚手架应符合下列规定: 1 竖向主框架、水平支承衍架应采用衍架或刚架结构,杆 件应采用焊接或螺栓连接; 2 应设有防倾、防坠、超载、失载、同步升降控制装置, 各类装置应灵敏可靠; 3 在竖向主框架所覆盖的每个楼层均应设置一道附墙支座; 每道附墙支座应能承担该机位的全部荷载;在使用工况时,竖向 主框架应与附墙支座可靠固定; 4 当采用电动升降设备时,电动升降设备连续升降距离应 大于一个楼层高度,并应有可靠的制动和定位功能; 5 防坠落装置与升降设备的附着固定应分别设置,不得固 定在同一附着支座上</x:v>
      </x:c>
      <x:c r="S233" s="41" t="n">
        <x:v>52</x:v>
      </x:c>
      <x:c r="T233" s="44" t="n">
        <x:v>41</x:v>
      </x:c>
    </x:row>
    <x:row r="234" ht="56" customHeight="1">
      <x:c r="A234" s="40" t="str">
        <x:v>JSJ-043</x:v>
      </x:c>
      <x:c r="B234" s="41" t="str">
        <x:v>启用</x:v>
      </x:c>
      <x:c r="C234" s="35" t="str">
        <x:v>附着式升降脚手架</x:v>
      </x:c>
      <x:c r="D234" s="35" t="str">
        <x:v>升降设备控制</x:v>
      </x:c>
      <x:c r="E234" s="35" t="str">
        <x:v>搭设、使用、检查或拆除施工脚手架时</x:v>
      </x:c>
      <x:c r="F234" s="35" t="str">
        <x:v>采用电动升降设备时，应具有可靠的制动和定位功能</x:v>
      </x:c>
      <x:c r="G234" s="35" t="str">
        <x:v>无明确数值；按文本要求判断</x:v>
      </x:c>
      <x:c r="H234" s="41" t="str">
        <x:v>应执行</x:v>
      </x:c>
      <x:c r="I234" s="35" t="str">
        <x:v>脚手架坍塌；高处坠落；物体打击</x:v>
      </x:c>
      <x:c r="J234" s="41" t="str">
        <x:v>较大</x:v>
      </x:c>
      <x:c r="K234" s="35" t="str">
        <x:v>架子工；安全员；施工员；班组长</x:v>
      </x:c>
      <x:c r="L234" s="35" t="str">
        <x:v>现场检查+人工确认</x:v>
      </x:c>
      <x:c r="M234" s="35" t="str">
        <x:v>建筑施工脚手架安全技术统一标准</x:v>
      </x:c>
      <x:c r="N234" s="35" t="str">
        <x:v>GB 51210-2016</x:v>
      </x:c>
      <x:c r="O234" s="35" t="str">
        <x:v>国家标准（部分条文强制）</x:v>
      </x:c>
      <x:c r="P234" s="35" t="str">
        <x:v>现行；与GB 55023-2022冲突时以后者为准</x:v>
      </x:c>
      <x:c r="Q234" s="35" t="str">
        <x:v>8.2.7</x:v>
      </x:c>
      <x:c r="R234" s="35" t="str">
        <x:v>8.2.7 附着式升降脚手架应符合下列规定: 1 竖向主框架、水平支承衍架应采用衍架或刚架结构,杆 件应采用焊接或螺栓连接; 2 应设有防倾、防坠、超载、失载、同步升降控制装置, 各类装置应灵敏可靠; 3 在竖向主框架所覆盖的每个楼层均应设置一道附墙支座; 每道附墙支座应能承担该机位的全部荷载;在使用工况时,竖向 主框架应与附墙支座可靠固定; 4 当采用电动升降设备时,电动升降设备连续升降距离应 大于一个楼层高度,并应有可靠的制动和定位功能; 5 防坠落装置与升降设备的附着固定应分别设置,不得固 定在同一附着支座上</x:v>
      </x:c>
      <x:c r="S234" s="41" t="n">
        <x:v>52</x:v>
      </x:c>
      <x:c r="T234" s="44" t="n">
        <x:v>41</x:v>
      </x:c>
    </x:row>
    <x:row r="235" ht="56" customHeight="1">
      <x:c r="A235" s="40" t="str">
        <x:v>JSJ-044</x:v>
      </x:c>
      <x:c r="B235" s="41" t="str">
        <x:v>启用</x:v>
      </x:c>
      <x:c r="C235" s="35" t="str">
        <x:v>附着式升降脚手架</x:v>
      </x:c>
      <x:c r="D235" s="35" t="str">
        <x:v>防坠装置设置</x:v>
      </x:c>
      <x:c r="E235" s="35" t="str">
        <x:v>搭设、使用、检查或拆除施工脚手架时</x:v>
      </x:c>
      <x:c r="F235" s="35" t="str">
        <x:v>防坠落装置与升降设备的附着固定应分别设置，不得固定在同一附着支座上</x:v>
      </x:c>
      <x:c r="G235" s="35" t="str">
        <x:v>无明确数值；按文本要求判断</x:v>
      </x:c>
      <x:c r="H235" s="41" t="str">
        <x:v>禁止/不得</x:v>
      </x:c>
      <x:c r="I235" s="35" t="str">
        <x:v>脚手架坍塌；高处坠落；物体打击</x:v>
      </x:c>
      <x:c r="J235" s="41" t="str">
        <x:v>重大</x:v>
      </x:c>
      <x:c r="K235" s="35" t="str">
        <x:v>架子工；安全员；施工员；班组长</x:v>
      </x:c>
      <x:c r="L235" s="35" t="str">
        <x:v>现场检查+人工确认</x:v>
      </x:c>
      <x:c r="M235" s="35" t="str">
        <x:v>建筑施工脚手架安全技术统一标准</x:v>
      </x:c>
      <x:c r="N235" s="35" t="str">
        <x:v>GB 51210-2016</x:v>
      </x:c>
      <x:c r="O235" s="35" t="str">
        <x:v>国家标准（部分条文强制）</x:v>
      </x:c>
      <x:c r="P235" s="35" t="str">
        <x:v>现行；与GB 55023-2022冲突时以后者为准</x:v>
      </x:c>
      <x:c r="Q235" s="35" t="str">
        <x:v>8.2.7</x:v>
      </x:c>
      <x:c r="R235" s="35" t="str">
        <x:v>8.2.7 附着式升降脚手架应符合下列规定: 1 竖向主框架、水平支承衍架应采用衍架或刚架结构,杆 件应采用焊接或螺栓连接; 2 应设有防倾、防坠、超载、失载、同步升降控制装置, 各类装置应灵敏可靠; 3 在竖向主框架所覆盖的每个楼层均应设置一道附墙支座; 每道附墙支座应能承担该机位的全部荷载;在使用工况时,竖向 主框架应与附墙支座可靠固定; 4 当采用电动升降设备时,电动升降设备连续升降距离应 大于一个楼层高度,并应有可靠的制动和定位功能; 5 防坠落装置与升降设备的附着固定应分别设置,不得固 定在同一附着支座上</x:v>
      </x:c>
      <x:c r="S235" s="41" t="n">
        <x:v>52</x:v>
      </x:c>
      <x:c r="T235" s="44" t="n">
        <x:v>41</x:v>
      </x:c>
    </x:row>
    <x:row r="236" ht="56" customHeight="1">
      <x:c r="A236" s="40" t="str">
        <x:v>JSJ-045</x:v>
      </x:c>
      <x:c r="B236" s="41" t="str">
        <x:v>启用</x:v>
      </x:c>
      <x:c r="C236" s="35" t="str">
        <x:v>施工脚手架</x:v>
      </x:c>
      <x:c r="D236" s="35" t="str">
        <x:v>作业层防护</x:v>
      </x:c>
      <x:c r="E236" s="35" t="str">
        <x:v>搭设、使用、检查或拆除施工脚手架时</x:v>
      </x:c>
      <x:c r="F236" s="35" t="str">
        <x:v>作业层上应满铺脚手板，并采用可靠连接方式与水平杆固定</x:v>
      </x:c>
      <x:c r="G236" s="35" t="str">
        <x:v>无明确数值；按文本要求判断</x:v>
      </x:c>
      <x:c r="H236" s="41" t="str">
        <x:v>应执行</x:v>
      </x:c>
      <x:c r="I236" s="35" t="str">
        <x:v>脚手架坍塌；高处坠落；物体打击</x:v>
      </x:c>
      <x:c r="J236" s="41" t="str">
        <x:v>较大</x:v>
      </x:c>
      <x:c r="K236" s="35" t="str">
        <x:v>架子工；安全员；施工员；班组长</x:v>
      </x:c>
      <x:c r="L236" s="35" t="str">
        <x:v>现场检查+人工确认</x:v>
      </x:c>
      <x:c r="M236" s="35" t="str">
        <x:v>建筑施工脚手架安全技术统一标准</x:v>
      </x:c>
      <x:c r="N236" s="35" t="str">
        <x:v>GB 51210-2016</x:v>
      </x:c>
      <x:c r="O236" s="35" t="str">
        <x:v>国家标准（部分条文强制）</x:v>
      </x:c>
      <x:c r="P236" s="35" t="str">
        <x:v>现行；与GB 55023-2022冲突时以后者为准</x:v>
      </x:c>
      <x:c r="Q236" s="35" t="str">
        <x:v>8.2.8</x:v>
      </x:c>
      <x:c r="R236" s="35" t="str">
        <x:v>8.2.8 作业脚手架的作业层上应满铺脚手板,并应采取可靠 的连接方式与水平杆固定。当作业层边缘与建筑物间隙大于 150mm 时,应采取防护措施。作业层外侧应设置栏杆和挡 脚板</x:v>
      </x:c>
      <x:c r="S236" s="41" t="n">
        <x:v>52</x:v>
      </x:c>
      <x:c r="T236" s="44" t="n">
        <x:v>41</x:v>
      </x:c>
    </x:row>
    <x:row r="237" ht="56" customHeight="1">
      <x:c r="A237" s="40" t="str">
        <x:v>JSJ-046</x:v>
      </x:c>
      <x:c r="B237" s="41" t="str">
        <x:v>启用</x:v>
      </x:c>
      <x:c r="C237" s="35" t="str">
        <x:v>施工脚手架</x:v>
      </x:c>
      <x:c r="D237" s="35" t="str">
        <x:v>作业层防护</x:v>
      </x:c>
      <x:c r="E237" s="35" t="str">
        <x:v>搭设、使用、检查或拆除施工脚手架时</x:v>
      </x:c>
      <x:c r="F237" s="35" t="str">
        <x:v>作业层边缘与建筑物间隙大于150mm时，应采取防护措施</x:v>
      </x:c>
      <x:c r="G237" s="35" t="str">
        <x:v>150mm</x:v>
      </x:c>
      <x:c r="H237" s="41" t="str">
        <x:v>应执行</x:v>
      </x:c>
      <x:c r="I237" s="35" t="str">
        <x:v>脚手架坍塌；高处坠落；物体打击</x:v>
      </x:c>
      <x:c r="J237" s="41" t="str">
        <x:v>较大</x:v>
      </x:c>
      <x:c r="K237" s="35" t="str">
        <x:v>架子工；安全员；施工员；班组长</x:v>
      </x:c>
      <x:c r="L237" s="35" t="str">
        <x:v>现场目视+尺寸/仪器测量</x:v>
      </x:c>
      <x:c r="M237" s="35" t="str">
        <x:v>建筑施工脚手架安全技术统一标准</x:v>
      </x:c>
      <x:c r="N237" s="35" t="str">
        <x:v>GB 51210-2016</x:v>
      </x:c>
      <x:c r="O237" s="35" t="str">
        <x:v>国家标准（部分条文强制）</x:v>
      </x:c>
      <x:c r="P237" s="35" t="str">
        <x:v>现行；与GB 55023-2022冲突时以后者为准</x:v>
      </x:c>
      <x:c r="Q237" s="35" t="str">
        <x:v>8.2.8</x:v>
      </x:c>
      <x:c r="R237" s="35" t="str">
        <x:v>8.2.8 作业脚手架的作业层上应满铺脚手板,并应采取可靠 的连接方式与水平杆固定。当作业层边缘与建筑物间隙大于 150mm 时,应采取防护措施。作业层外侧应设置栏杆和挡 脚板</x:v>
      </x:c>
      <x:c r="S237" s="41" t="n">
        <x:v>52</x:v>
      </x:c>
      <x:c r="T237" s="44" t="n">
        <x:v>41</x:v>
      </x:c>
    </x:row>
    <x:row r="238" ht="56" customHeight="1">
      <x:c r="A238" s="40" t="str">
        <x:v>JSJ-047</x:v>
      </x:c>
      <x:c r="B238" s="41" t="str">
        <x:v>启用</x:v>
      </x:c>
      <x:c r="C238" s="35" t="str">
        <x:v>施工脚手架</x:v>
      </x:c>
      <x:c r="D238" s="35" t="str">
        <x:v>作业层防护</x:v>
      </x:c>
      <x:c r="E238" s="35" t="str">
        <x:v>搭设、使用、检查或拆除施工脚手架时</x:v>
      </x:c>
      <x:c r="F238" s="35" t="str">
        <x:v>作业层外侧应设置栏杆和挡脚板</x:v>
      </x:c>
      <x:c r="G238" s="35" t="str">
        <x:v>无明确数值；按文本要求判断</x:v>
      </x:c>
      <x:c r="H238" s="41" t="str">
        <x:v>应执行</x:v>
      </x:c>
      <x:c r="I238" s="35" t="str">
        <x:v>脚手架坍塌；高处坠落；物体打击</x:v>
      </x:c>
      <x:c r="J238" s="41" t="str">
        <x:v>较大</x:v>
      </x:c>
      <x:c r="K238" s="35" t="str">
        <x:v>架子工；安全员；施工员；班组长</x:v>
      </x:c>
      <x:c r="L238" s="35" t="str">
        <x:v>现场检查+人工确认</x:v>
      </x:c>
      <x:c r="M238" s="35" t="str">
        <x:v>建筑施工脚手架安全技术统一标准</x:v>
      </x:c>
      <x:c r="N238" s="35" t="str">
        <x:v>GB 51210-2016</x:v>
      </x:c>
      <x:c r="O238" s="35" t="str">
        <x:v>国家标准（部分条文强制）</x:v>
      </x:c>
      <x:c r="P238" s="35" t="str">
        <x:v>现行；与GB 55023-2022冲突时以后者为准</x:v>
      </x:c>
      <x:c r="Q238" s="35" t="str">
        <x:v>8.2.8</x:v>
      </x:c>
      <x:c r="R238" s="35" t="str">
        <x:v>8.2.8 作业脚手架的作业层上应满铺脚手板,并应采取可靠 的连接方式与水平杆固定。当作业层边缘与建筑物间隙大于 150mm 时,应采取防护措施。作业层外侧应设置栏杆和挡 脚板</x:v>
      </x:c>
      <x:c r="S238" s="41" t="n">
        <x:v>52</x:v>
      </x:c>
      <x:c r="T238" s="44" t="n">
        <x:v>41</x:v>
      </x:c>
    </x:row>
    <x:row r="239" ht="56" customHeight="1">
      <x:c r="A239" s="40" t="str">
        <x:v>JSJ-048</x:v>
      </x:c>
      <x:c r="B239" s="41" t="str">
        <x:v>启用</x:v>
      </x:c>
      <x:c r="C239" s="35" t="str">
        <x:v>脚手架搭设与拆除</x:v>
      </x:c>
      <x:c r="D239" s="35" t="str">
        <x:v>搭设场地准备</x:v>
      </x:c>
      <x:c r="E239" s="35" t="str">
        <x:v>搭设、使用、检查或拆除施工脚手架时</x:v>
      </x:c>
      <x:c r="F239" s="35" t="str">
        <x:v>脚手架搭设场地应平整、坚实、排水顺畅且不得有积水</x:v>
      </x:c>
      <x:c r="G239" s="35" t="str">
        <x:v>无明确数值；按文本要求判断</x:v>
      </x:c>
      <x:c r="H239" s="41" t="str">
        <x:v>禁止/不得</x:v>
      </x:c>
      <x:c r="I239" s="35" t="str">
        <x:v>脚手架坍塌；高处坠落；物体打击</x:v>
      </x:c>
      <x:c r="J239" s="41" t="str">
        <x:v>重大</x:v>
      </x:c>
      <x:c r="K239" s="35" t="str">
        <x:v>架子工；安全员；施工员；班组长</x:v>
      </x:c>
      <x:c r="L239" s="35" t="str">
        <x:v>现场检查+人工确认</x:v>
      </x:c>
      <x:c r="M239" s="35" t="str">
        <x:v>建筑施工脚手架安全技术统一标准</x:v>
      </x:c>
      <x:c r="N239" s="35" t="str">
        <x:v>GB 51210-2016</x:v>
      </x:c>
      <x:c r="O239" s="35" t="str">
        <x:v>国家标准（部分条文强制）</x:v>
      </x:c>
      <x:c r="P239" s="35" t="str">
        <x:v>现行；与GB 55023-2022冲突时以后者为准</x:v>
      </x:c>
      <x:c r="Q239" s="35" t="str">
        <x:v>9.0.3</x:v>
      </x:c>
      <x:c r="R239" s="35" t="str">
        <x:v>9.0.3 脚手架的搭设场地应平整、坚实,场地排水应顺畅,不 应有积水。脚手架附着于建筑结构处的混凝土强度应满足安全承 载要求</x:v>
      </x:c>
      <x:c r="S239" s="41" t="n">
        <x:v>57</x:v>
      </x:c>
      <x:c r="T239" s="44" t="n">
        <x:v>46</x:v>
      </x:c>
    </x:row>
    <x:row r="240" ht="56" customHeight="1">
      <x:c r="A240" s="40" t="str">
        <x:v>JSJ-049</x:v>
      </x:c>
      <x:c r="B240" s="41" t="str">
        <x:v>启用</x:v>
      </x:c>
      <x:c r="C240" s="35" t="str">
        <x:v>脚手架搭设与拆除</x:v>
      </x:c>
      <x:c r="D240" s="35" t="str">
        <x:v>附着结构核验</x:v>
      </x:c>
      <x:c r="E240" s="35" t="str">
        <x:v>搭设、使用、检查或拆除施工脚手架时</x:v>
      </x:c>
      <x:c r="F240" s="35" t="str">
        <x:v>脚手架附着处的建筑结构混凝土强度应满足安全承载要求</x:v>
      </x:c>
      <x:c r="G240" s="35" t="str">
        <x:v>无明确数值；按文本要求判断</x:v>
      </x:c>
      <x:c r="H240" s="41" t="str">
        <x:v>应执行</x:v>
      </x:c>
      <x:c r="I240" s="35" t="str">
        <x:v>脚手架坍塌；高处坠落；物体打击</x:v>
      </x:c>
      <x:c r="J240" s="41" t="str">
        <x:v>重大</x:v>
      </x:c>
      <x:c r="K240" s="35" t="str">
        <x:v>架子工；安全员；施工员；班组长</x:v>
      </x:c>
      <x:c r="L240" s="35" t="str">
        <x:v>现场检查+人工确认</x:v>
      </x:c>
      <x:c r="M240" s="35" t="str">
        <x:v>建筑施工脚手架安全技术统一标准</x:v>
      </x:c>
      <x:c r="N240" s="35" t="str">
        <x:v>GB 51210-2016</x:v>
      </x:c>
      <x:c r="O240" s="35" t="str">
        <x:v>国家标准（部分条文强制）</x:v>
      </x:c>
      <x:c r="P240" s="35" t="str">
        <x:v>现行；与GB 55023-2022冲突时以后者为准</x:v>
      </x:c>
      <x:c r="Q240" s="35" t="str">
        <x:v>9.0.3</x:v>
      </x:c>
      <x:c r="R240" s="35" t="str">
        <x:v>9.0.3 脚手架的搭设场地应平整、坚实,场地排水应顺畅,不 应有积水。脚手架附着于建筑结构处的混凝土强度应满足安全承 载要求</x:v>
      </x:c>
      <x:c r="S240" s="41" t="n">
        <x:v>57</x:v>
      </x:c>
      <x:c r="T240" s="44" t="n">
        <x:v>46</x:v>
      </x:c>
    </x:row>
    <x:row r="241" ht="56" customHeight="1">
      <x:c r="A241" s="40" t="str">
        <x:v>JSJ-050</x:v>
      </x:c>
      <x:c r="B241" s="41" t="str">
        <x:v>启用</x:v>
      </x:c>
      <x:c r="C241" s="35" t="str">
        <x:v>脚手架搭设与拆除</x:v>
      </x:c>
      <x:c r="D241" s="35" t="str">
        <x:v>架体搭设</x:v>
      </x:c>
      <x:c r="E241" s="35" t="str">
        <x:v>搭设、使用、检查或拆除施工脚手架时</x:v>
      </x:c>
      <x:c r="F241" s="35" t="str">
        <x:v>落地作业脚手架和悬挑脚手架应与工程施工同步搭设，一次搭设高度不应超过最上层连墙件2步，且自由高度不应大于4m</x:v>
      </x:c>
      <x:c r="G241" s="35" t="str">
        <x:v>2步；4m</x:v>
      </x:c>
      <x:c r="H241" s="41" t="str">
        <x:v>禁止/不得</x:v>
      </x:c>
      <x:c r="I241" s="35" t="str">
        <x:v>脚手架坍塌；高处坠落；物体打击</x:v>
      </x:c>
      <x:c r="J241" s="41" t="str">
        <x:v>重大</x:v>
      </x:c>
      <x:c r="K241" s="35" t="str">
        <x:v>架子工；安全员；施工员；班组长</x:v>
      </x:c>
      <x:c r="L241" s="35" t="str">
        <x:v>现场目视+尺寸/仪器测量</x:v>
      </x:c>
      <x:c r="M241" s="35" t="str">
        <x:v>建筑施工脚手架安全技术统一标准</x:v>
      </x:c>
      <x:c r="N241" s="35" t="str">
        <x:v>GB 51210-2016</x:v>
      </x:c>
      <x:c r="O241" s="35" t="str">
        <x:v>国家标准（部分条文强制）</x:v>
      </x:c>
      <x:c r="P241" s="35" t="str">
        <x:v>现行；与GB 55023-2022冲突时以后者为准</x:v>
      </x:c>
      <x:c r="Q241" s="35" t="str">
        <x:v>9.0.4</x:v>
      </x:c>
      <x:c r="R241" s="35" t="str">
        <x:v>9.0.4 脚手架应按顺序搭设,并应符合下列规定: 1 落地作业脚手架、悬挑脚手架的搭设应与工程施工同步, 一次搭设高度不应超过最上层连墙件两步,且自由高度不应大 于 4m; 2 支撑脚手架应逐排、逐层进行搭设; 3 剪刀撑、斜撑杆等加固杆件应随架体同步搭设,不得滞 后安装; 4 构件组装类脚手架的搭设应自一端向另一端延伸,自下 而上按步架设,并应逐层改变搭设方向, 5 每搭设完一步架体后,应按规定校正立杆间距、步距、 垂直度及水平杆的水平度</x:v>
      </x:c>
      <x:c r="S241" s="41" t="n">
        <x:v>57</x:v>
      </x:c>
      <x:c r="T241" s="44" t="n">
        <x:v>46</x:v>
      </x:c>
    </x:row>
    <x:row r="242" ht="56" customHeight="1">
      <x:c r="A242" s="40" t="str">
        <x:v>JSJ-051</x:v>
      </x:c>
      <x:c r="B242" s="41" t="str">
        <x:v>启用</x:v>
      </x:c>
      <x:c r="C242" s="35" t="str">
        <x:v>脚手架搭设与拆除</x:v>
      </x:c>
      <x:c r="D242" s="35" t="str">
        <x:v>架体搭设</x:v>
      </x:c>
      <x:c r="E242" s="35" t="str">
        <x:v>搭设、使用、检查或拆除施工脚手架时</x:v>
      </x:c>
      <x:c r="F242" s="35" t="str">
        <x:v>支撑脚手架应逐排、逐层进行搭设</x:v>
      </x:c>
      <x:c r="G242" s="35" t="str">
        <x:v>无明确数值；按文本要求判断</x:v>
      </x:c>
      <x:c r="H242" s="41" t="str">
        <x:v>应执行</x:v>
      </x:c>
      <x:c r="I242" s="35" t="str">
        <x:v>脚手架坍塌；高处坠落；物体打击</x:v>
      </x:c>
      <x:c r="J242" s="41" t="str">
        <x:v>较大</x:v>
      </x:c>
      <x:c r="K242" s="35" t="str">
        <x:v>架子工；安全员；施工员；班组长</x:v>
      </x:c>
      <x:c r="L242" s="35" t="str">
        <x:v>现场检查+人工确认</x:v>
      </x:c>
      <x:c r="M242" s="35" t="str">
        <x:v>建筑施工脚手架安全技术统一标准</x:v>
      </x:c>
      <x:c r="N242" s="35" t="str">
        <x:v>GB 51210-2016</x:v>
      </x:c>
      <x:c r="O242" s="35" t="str">
        <x:v>国家标准（部分条文强制）</x:v>
      </x:c>
      <x:c r="P242" s="35" t="str">
        <x:v>现行；与GB 55023-2022冲突时以后者为准</x:v>
      </x:c>
      <x:c r="Q242" s="35" t="str">
        <x:v>9.0.4</x:v>
      </x:c>
      <x:c r="R242" s="35" t="str">
        <x:v>9.0.4 脚手架应按顺序搭设,并应符合下列规定: 1 落地作业脚手架、悬挑脚手架的搭设应与工程施工同步, 一次搭设高度不应超过最上层连墙件两步,且自由高度不应大 于 4m; 2 支撑脚手架应逐排、逐层进行搭设; 3 剪刀撑、斜撑杆等加固杆件应随架体同步搭设,不得滞 后安装; 4 构件组装类脚手架的搭设应自一端向另一端延伸,自下 而上按步架设,并应逐层改变搭设方向, 5 每搭设完一步架体后,应按规定校正立杆间距、步距、 垂直度及水平杆的水平度</x:v>
      </x:c>
      <x:c r="S242" s="41" t="n">
        <x:v>57</x:v>
      </x:c>
      <x:c r="T242" s="44" t="n">
        <x:v>46</x:v>
      </x:c>
    </x:row>
    <x:row r="243" ht="56" customHeight="1">
      <x:c r="A243" s="40" t="str">
        <x:v>JSJ-052</x:v>
      </x:c>
      <x:c r="B243" s="41" t="str">
        <x:v>启用</x:v>
      </x:c>
      <x:c r="C243" s="35" t="str">
        <x:v>脚手架搭设与拆除</x:v>
      </x:c>
      <x:c r="D243" s="35" t="str">
        <x:v>架体搭设</x:v>
      </x:c>
      <x:c r="E243" s="35" t="str">
        <x:v>搭设、使用、检查或拆除施工脚手架时</x:v>
      </x:c>
      <x:c r="F243" s="35" t="str">
        <x:v>剪刀撑、斜撑杆等加固杆件应随架体同步搭设，不得滞后安装</x:v>
      </x:c>
      <x:c r="G243" s="35" t="str">
        <x:v>无明确数值；按文本要求判断</x:v>
      </x:c>
      <x:c r="H243" s="41" t="str">
        <x:v>禁止/不得</x:v>
      </x:c>
      <x:c r="I243" s="35" t="str">
        <x:v>脚手架坍塌；高处坠落；物体打击</x:v>
      </x:c>
      <x:c r="J243" s="41" t="str">
        <x:v>重大</x:v>
      </x:c>
      <x:c r="K243" s="35" t="str">
        <x:v>架子工；安全员；施工员；班组长</x:v>
      </x:c>
      <x:c r="L243" s="35" t="str">
        <x:v>现场检查+人工确认</x:v>
      </x:c>
      <x:c r="M243" s="35" t="str">
        <x:v>建筑施工脚手架安全技术统一标准</x:v>
      </x:c>
      <x:c r="N243" s="35" t="str">
        <x:v>GB 51210-2016</x:v>
      </x:c>
      <x:c r="O243" s="35" t="str">
        <x:v>国家标准（部分条文强制）</x:v>
      </x:c>
      <x:c r="P243" s="35" t="str">
        <x:v>现行；与GB 55023-2022冲突时以后者为准</x:v>
      </x:c>
      <x:c r="Q243" s="35" t="str">
        <x:v>9.0.4</x:v>
      </x:c>
      <x:c r="R243" s="35" t="str">
        <x:v>9.0.4 脚手架应按顺序搭设,并应符合下列规定: 1 落地作业脚手架、悬挑脚手架的搭设应与工程施工同步, 一次搭设高度不应超过最上层连墙件两步,且自由高度不应大 于 4m; 2 支撑脚手架应逐排、逐层进行搭设; 3 剪刀撑、斜撑杆等加固杆件应随架体同步搭设,不得滞 后安装; 4 构件组装类脚手架的搭设应自一端向另一端延伸,自下 而上按步架设,并应逐层改变搭设方向, 5 每搭设完一步架体后,应按规定校正立杆间距、步距、 垂直度及水平杆的水平度</x:v>
      </x:c>
      <x:c r="S243" s="41" t="n">
        <x:v>57</x:v>
      </x:c>
      <x:c r="T243" s="44" t="n">
        <x:v>46</x:v>
      </x:c>
    </x:row>
    <x:row r="244" ht="56" customHeight="1">
      <x:c r="A244" s="40" t="str">
        <x:v>JSJ-053</x:v>
      </x:c>
      <x:c r="B244" s="41" t="str">
        <x:v>启用</x:v>
      </x:c>
      <x:c r="C244" s="35" t="str">
        <x:v>脚手架搭设与拆除</x:v>
      </x:c>
      <x:c r="D244" s="35" t="str">
        <x:v>架体搭设</x:v>
      </x:c>
      <x:c r="E244" s="35" t="str">
        <x:v>搭设、使用、检查或拆除施工脚手架时</x:v>
      </x:c>
      <x:c r="F244" s="35" t="str">
        <x:v>构件组装类脚手架应自一端向另一端延伸、自下而上按步架设，并逐层改变搭设方向</x:v>
      </x:c>
      <x:c r="G244" s="35" t="str">
        <x:v>无明确数值；按文本要求判断</x:v>
      </x:c>
      <x:c r="H244" s="41" t="str">
        <x:v>应执行</x:v>
      </x:c>
      <x:c r="I244" s="35" t="str">
        <x:v>脚手架坍塌；高处坠落；物体打击</x:v>
      </x:c>
      <x:c r="J244" s="41" t="str">
        <x:v>较大</x:v>
      </x:c>
      <x:c r="K244" s="35" t="str">
        <x:v>架子工；安全员；施工员；班组长</x:v>
      </x:c>
      <x:c r="L244" s="35" t="str">
        <x:v>现场检查+人工确认</x:v>
      </x:c>
      <x:c r="M244" s="35" t="str">
        <x:v>建筑施工脚手架安全技术统一标准</x:v>
      </x:c>
      <x:c r="N244" s="35" t="str">
        <x:v>GB 51210-2016</x:v>
      </x:c>
      <x:c r="O244" s="35" t="str">
        <x:v>国家标准（部分条文强制）</x:v>
      </x:c>
      <x:c r="P244" s="35" t="str">
        <x:v>现行；与GB 55023-2022冲突时以后者为准</x:v>
      </x:c>
      <x:c r="Q244" s="35" t="str">
        <x:v>9.0.4</x:v>
      </x:c>
      <x:c r="R244" s="35" t="str">
        <x:v>9.0.4 脚手架应按顺序搭设,并应符合下列规定: 1 落地作业脚手架、悬挑脚手架的搭设应与工程施工同步, 一次搭设高度不应超过最上层连墙件两步,且自由高度不应大 于 4m; 2 支撑脚手架应逐排、逐层进行搭设; 3 剪刀撑、斜撑杆等加固杆件应随架体同步搭设,不得滞 后安装; 4 构件组装类脚手架的搭设应自一端向另一端延伸,自下 而上按步架设,并应逐层改变搭设方向, 5 每搭设完一步架体后,应按规定校正立杆间距、步距、 垂直度及水平杆的水平度</x:v>
      </x:c>
      <x:c r="S244" s="41" t="n">
        <x:v>57</x:v>
      </x:c>
      <x:c r="T244" s="44" t="n">
        <x:v>46</x:v>
      </x:c>
    </x:row>
    <x:row r="245" ht="56" customHeight="1">
      <x:c r="A245" s="40" t="str">
        <x:v>JSJ-054</x:v>
      </x:c>
      <x:c r="B245" s="41" t="str">
        <x:v>启用</x:v>
      </x:c>
      <x:c r="C245" s="35" t="str">
        <x:v>脚手架搭设与拆除</x:v>
      </x:c>
      <x:c r="D245" s="35" t="str">
        <x:v>架体搭设</x:v>
      </x:c>
      <x:c r="E245" s="35" t="str">
        <x:v>搭设、使用、检查或拆除施工脚手架时</x:v>
      </x:c>
      <x:c r="F245" s="35" t="str">
        <x:v>每搭设完一步架体后，应校正立杆间距、步距、垂直度及水平杆水平度</x:v>
      </x:c>
      <x:c r="G245" s="35" t="str">
        <x:v>无明确数值；按文本要求判断</x:v>
      </x:c>
      <x:c r="H245" s="41" t="str">
        <x:v>应执行</x:v>
      </x:c>
      <x:c r="I245" s="35" t="str">
        <x:v>脚手架坍塌；高处坠落；物体打击</x:v>
      </x:c>
      <x:c r="J245" s="41" t="str">
        <x:v>较大</x:v>
      </x:c>
      <x:c r="K245" s="35" t="str">
        <x:v>架子工；安全员；施工员；班组长</x:v>
      </x:c>
      <x:c r="L245" s="35" t="str">
        <x:v>现场检查+人工确认</x:v>
      </x:c>
      <x:c r="M245" s="35" t="str">
        <x:v>建筑施工脚手架安全技术统一标准</x:v>
      </x:c>
      <x:c r="N245" s="35" t="str">
        <x:v>GB 51210-2016</x:v>
      </x:c>
      <x:c r="O245" s="35" t="str">
        <x:v>国家标准（部分条文强制）</x:v>
      </x:c>
      <x:c r="P245" s="35" t="str">
        <x:v>现行；与GB 55023-2022冲突时以后者为准</x:v>
      </x:c>
      <x:c r="Q245" s="35" t="str">
        <x:v>9.0.4</x:v>
      </x:c>
      <x:c r="R245" s="35" t="str">
        <x:v>9.0.4 脚手架应按顺序搭设,并应符合下列规定: 1 落地作业脚手架、悬挑脚手架的搭设应与工程施工同步, 一次搭设高度不应超过最上层连墙件两步,且自由高度不应大 于 4m; 2 支撑脚手架应逐排、逐层进行搭设; 3 剪刀撑、斜撑杆等加固杆件应随架体同步搭设,不得滞 后安装; 4 构件组装类脚手架的搭设应自一端向另一端延伸,自下 而上按步架设,并应逐层改变搭设方向, 5 每搭设完一步架体后,应按规定校正立杆间距、步距、 垂直度及水平杆的水平度</x:v>
      </x:c>
      <x:c r="S245" s="41" t="n">
        <x:v>57</x:v>
      </x:c>
      <x:c r="T245" s="44" t="n">
        <x:v>46</x:v>
      </x:c>
    </x:row>
    <x:row r="246" ht="56" customHeight="1">
      <x:c r="A246" s="40" t="str">
        <x:v>JSJ-055</x:v>
      </x:c>
      <x:c r="B246" s="41" t="str">
        <x:v>启用</x:v>
      </x:c>
      <x:c r="C246" s="35" t="str">
        <x:v>脚手架搭设与拆除</x:v>
      </x:c>
      <x:c r="D246" s="35" t="str">
        <x:v>连墙件安装</x:v>
      </x:c>
      <x:c r="E246" s="35" t="str">
        <x:v>搭设、使用、检查或拆除施工脚手架时</x:v>
      </x:c>
      <x:c r="F246" s="35" t="str">
        <x:v>作业脚手架连墙件应随架体搭设同步安装，严禁滞后安装</x:v>
      </x:c>
      <x:c r="G246" s="35" t="str">
        <x:v>无明确数值；按文本要求判断</x:v>
      </x:c>
      <x:c r="H246" s="41" t="str">
        <x:v>禁止/不得</x:v>
      </x:c>
      <x:c r="I246" s="35" t="str">
        <x:v>脚手架坍塌；高处坠落；物体打击</x:v>
      </x:c>
      <x:c r="J246" s="41" t="str">
        <x:v>重大</x:v>
      </x:c>
      <x:c r="K246" s="35" t="str">
        <x:v>架子工；安全员；施工员；班组长</x:v>
      </x:c>
      <x:c r="L246" s="35" t="str">
        <x:v>现场检查+人工确认</x:v>
      </x:c>
      <x:c r="M246" s="35" t="str">
        <x:v>建筑施工脚手架安全技术统一标准</x:v>
      </x:c>
      <x:c r="N246" s="35" t="str">
        <x:v>GB 51210-2016</x:v>
      </x:c>
      <x:c r="O246" s="35" t="str">
        <x:v>国家标准（部分条文强制）</x:v>
      </x:c>
      <x:c r="P246" s="35" t="str">
        <x:v>现行；与GB 55023-2022冲突时以后者为准</x:v>
      </x:c>
      <x:c r="Q246" s="35" t="str">
        <x:v>9.0.5</x:v>
      </x:c>
      <x:c r="R246" s="35" t="str">
        <x:v>9.5 作业脚手架连墙件的安装必须符合下列规定: 1 连墙件的安装必须随作业脚手架搭设 同步进行,严禁滞 后安装; 2 当作业脚手架操作层高出相邻连墙件 2 个步距及以上时, 在上层连墙件安装完毕前,必须采取临时拉结措施</x:v>
      </x:c>
      <x:c r="S246" s="41" t="n">
        <x:v>57</x:v>
      </x:c>
      <x:c r="T246" s="44" t="n">
        <x:v>46</x:v>
      </x:c>
    </x:row>
    <x:row r="247" ht="56" customHeight="1">
      <x:c r="A247" s="40" t="str">
        <x:v>JSJ-056</x:v>
      </x:c>
      <x:c r="B247" s="41" t="str">
        <x:v>启用</x:v>
      </x:c>
      <x:c r="C247" s="35" t="str">
        <x:v>脚手架搭设与拆除</x:v>
      </x:c>
      <x:c r="D247" s="35" t="str">
        <x:v>连墙件安装</x:v>
      </x:c>
      <x:c r="E247" s="35" t="str">
        <x:v>搭设、使用、检查或拆除施工脚手架时</x:v>
      </x:c>
      <x:c r="F247" s="35" t="str">
        <x:v>操作层高出相邻连墙件2个步距及以上时，在上层连墙件安装完毕前必须采取临时拉结措施</x:v>
      </x:c>
      <x:c r="G247" s="35" t="str">
        <x:v>无明确数值；按文本要求判断</x:v>
      </x:c>
      <x:c r="H247" s="41" t="str">
        <x:v>必须</x:v>
      </x:c>
      <x:c r="I247" s="35" t="str">
        <x:v>脚手架坍塌；高处坠落；物体打击</x:v>
      </x:c>
      <x:c r="J247" s="41" t="str">
        <x:v>重大</x:v>
      </x:c>
      <x:c r="K247" s="35" t="str">
        <x:v>架子工；安全员；施工员；班组长</x:v>
      </x:c>
      <x:c r="L247" s="35" t="str">
        <x:v>现场目视+尺寸/仪器测量</x:v>
      </x:c>
      <x:c r="M247" s="35" t="str">
        <x:v>建筑施工脚手架安全技术统一标准</x:v>
      </x:c>
      <x:c r="N247" s="35" t="str">
        <x:v>GB 51210-2016</x:v>
      </x:c>
      <x:c r="O247" s="35" t="str">
        <x:v>国家标准（部分条文强制）</x:v>
      </x:c>
      <x:c r="P247" s="35" t="str">
        <x:v>现行；与GB 55023-2022冲突时以后者为准</x:v>
      </x:c>
      <x:c r="Q247" s="35" t="str">
        <x:v>9.0.5</x:v>
      </x:c>
      <x:c r="R247" s="35" t="str">
        <x:v>9.5 作业脚手架连墙件的安装必须符合下列规定: 1 连墙件的安装必须随作业脚手架搭设 同步进行,严禁滞 后安装; 2 当作业脚手架操作层高出相邻连墙件 2 个步距及以上时, 在上层连墙件安装完毕前,必须采取临时拉结措施</x:v>
      </x:c>
      <x:c r="S247" s="41" t="n">
        <x:v>57</x:v>
      </x:c>
      <x:c r="T247" s="44" t="n">
        <x:v>46</x:v>
      </x:c>
    </x:row>
    <x:row r="248" ht="56" customHeight="1">
      <x:c r="A248" s="40" t="str">
        <x:v>JSJ-057</x:v>
      </x:c>
      <x:c r="B248" s="41" t="str">
        <x:v>启用</x:v>
      </x:c>
      <x:c r="C248" s="35" t="str">
        <x:v>附着式升降脚手架</x:v>
      </x:c>
      <x:c r="D248" s="35" t="str">
        <x:v>安装验收与调试</x:v>
      </x:c>
      <x:c r="E248" s="35" t="str">
        <x:v>搭设、使用、检查或拆除施工脚手架时</x:v>
      </x:c>
      <x:c r="F248" s="35" t="str">
        <x:v>附着式升降脚手架组装就位后，应进行检验和升降调试，符合要求后方可投入使用</x:v>
      </x:c>
      <x:c r="G248" s="35" t="str">
        <x:v>无明确数值；按文本要求判断</x:v>
      </x:c>
      <x:c r="H248" s="41" t="str">
        <x:v>应执行</x:v>
      </x:c>
      <x:c r="I248" s="35" t="str">
        <x:v>脚手架坍塌；高处坠落；物体打击</x:v>
      </x:c>
      <x:c r="J248" s="41" t="str">
        <x:v>较大</x:v>
      </x:c>
      <x:c r="K248" s="35" t="str">
        <x:v>架子工；安全员；施工员；班组长</x:v>
      </x:c>
      <x:c r="L248" s="35" t="str">
        <x:v>现场检查+人工确认</x:v>
      </x:c>
      <x:c r="M248" s="35" t="str">
        <x:v>建筑施工脚手架安全技术统一标准</x:v>
      </x:c>
      <x:c r="N248" s="35" t="str">
        <x:v>GB 51210-2016</x:v>
      </x:c>
      <x:c r="O248" s="35" t="str">
        <x:v>国家标准（部分条文强制）</x:v>
      </x:c>
      <x:c r="P248" s="35" t="str">
        <x:v>现行；与GB 55023-2022冲突时以后者为准</x:v>
      </x:c>
      <x:c r="Q248" s="35" t="str">
        <x:v>9.0.7</x:v>
      </x:c>
      <x:c r="R248" s="35" t="str">
        <x:v>9.7 附着式升降脚手架组装就位后,应按规定进行检验和升 降调试,符合要求后方可投入使用。 46</x:v>
      </x:c>
      <x:c r="S248" s="41" t="n">
        <x:v>57</x:v>
      </x:c>
      <x:c r="T248" s="44" t="n">
        <x:v>46</x:v>
      </x:c>
    </x:row>
    <x:row r="249" ht="56" customHeight="1">
      <x:c r="A249" s="40" t="str">
        <x:v>JSJ-058</x:v>
      </x:c>
      <x:c r="B249" s="41" t="str">
        <x:v>启用</x:v>
      </x:c>
      <x:c r="C249" s="35" t="str">
        <x:v>脚手架搭设与拆除</x:v>
      </x:c>
      <x:c r="D249" s="35" t="str">
        <x:v>架体拆除</x:v>
      </x:c>
      <x:c r="E249" s="35" t="str">
        <x:v>搭设、使用、检查或拆除施工脚手架时</x:v>
      </x:c>
      <x:c r="F249" s="35" t="str">
        <x:v>脚手架拆除应从上而下逐层进行，严禁上下同时作业</x:v>
      </x:c>
      <x:c r="G249" s="35" t="str">
        <x:v>无明确数值；按文本要求判断</x:v>
      </x:c>
      <x:c r="H249" s="41" t="str">
        <x:v>禁止/不得</x:v>
      </x:c>
      <x:c r="I249" s="35" t="str">
        <x:v>脚手架坍塌；高处坠落；物体打击</x:v>
      </x:c>
      <x:c r="J249" s="41" t="str">
        <x:v>重大</x:v>
      </x:c>
      <x:c r="K249" s="35" t="str">
        <x:v>架子工；安全员；施工员；班组长</x:v>
      </x:c>
      <x:c r="L249" s="35" t="str">
        <x:v>现场检查+人工确认</x:v>
      </x:c>
      <x:c r="M249" s="35" t="str">
        <x:v>建筑施工脚手架安全技术统一标准</x:v>
      </x:c>
      <x:c r="N249" s="35" t="str">
        <x:v>GB 51210-2016</x:v>
      </x:c>
      <x:c r="O249" s="35" t="str">
        <x:v>国家标准（部分条文强制）</x:v>
      </x:c>
      <x:c r="P249" s="35" t="str">
        <x:v>现行；与GB 55023-2022冲突时以后者为准</x:v>
      </x:c>
      <x:c r="Q249" s="35" t="str">
        <x:v>9.0.8</x:v>
      </x:c>
      <x:c r="R249" s="35" t="str">
        <x:v>9.8 脚手架的拆除作业必须符合下列规定: 1 架体的拆除应从上而下逐层进行,严禁上下同时作业; 2 同层杆件和构配件必须按先外后内的顺序拆除;剪刀撑、 斜撑杆等加固杆件必须在拆卸至该杆件所在部位时再拆除; 3 作业脚手架连墙件必须随架体逐层拆除,严禁先将连墙 件整层或数层拆除后再拆架体。拆除作业过程中,当架体的自由 端高度超过 2 个步距时,必须采取临时拉结措施</x:v>
      </x:c>
      <x:c r="S249" s="41" t="n">
        <x:v>58</x:v>
      </x:c>
      <x:c r="T249" s="44" t="n">
        <x:v>47</x:v>
      </x:c>
    </x:row>
    <x:row r="250" ht="56" customHeight="1">
      <x:c r="A250" s="40" t="str">
        <x:v>JSJ-059</x:v>
      </x:c>
      <x:c r="B250" s="41" t="str">
        <x:v>启用</x:v>
      </x:c>
      <x:c r="C250" s="35" t="str">
        <x:v>脚手架搭设与拆除</x:v>
      </x:c>
      <x:c r="D250" s="35" t="str">
        <x:v>架体拆除</x:v>
      </x:c>
      <x:c r="E250" s="35" t="str">
        <x:v>搭设、使用、检查或拆除施工脚手架时</x:v>
      </x:c>
      <x:c r="F250" s="35" t="str">
        <x:v>同层杆件和构配件必须按先外后内顺序拆除</x:v>
      </x:c>
      <x:c r="G250" s="35" t="str">
        <x:v>无明确数值；按文本要求判断</x:v>
      </x:c>
      <x:c r="H250" s="41" t="str">
        <x:v>必须</x:v>
      </x:c>
      <x:c r="I250" s="35" t="str">
        <x:v>脚手架坍塌；高处坠落；物体打击</x:v>
      </x:c>
      <x:c r="J250" s="41" t="str">
        <x:v>重大</x:v>
      </x:c>
      <x:c r="K250" s="35" t="str">
        <x:v>架子工；安全员；施工员；班组长</x:v>
      </x:c>
      <x:c r="L250" s="35" t="str">
        <x:v>现场检查+人工确认</x:v>
      </x:c>
      <x:c r="M250" s="35" t="str">
        <x:v>建筑施工脚手架安全技术统一标准</x:v>
      </x:c>
      <x:c r="N250" s="35" t="str">
        <x:v>GB 51210-2016</x:v>
      </x:c>
      <x:c r="O250" s="35" t="str">
        <x:v>国家标准（部分条文强制）</x:v>
      </x:c>
      <x:c r="P250" s="35" t="str">
        <x:v>现行；与GB 55023-2022冲突时以后者为准</x:v>
      </x:c>
      <x:c r="Q250" s="35" t="str">
        <x:v>9.0.8</x:v>
      </x:c>
      <x:c r="R250" s="35" t="str">
        <x:v>9.8 脚手架的拆除作业必须符合下列规定: 1 架体的拆除应从上而下逐层进行,严禁上下同时作业; 2 同层杆件和构配件必须按先外后内的顺序拆除;剪刀撑、 斜撑杆等加固杆件必须在拆卸至该杆件所在部位时再拆除; 3 作业脚手架连墙件必须随架体逐层拆除,严禁先将连墙 件整层或数层拆除后再拆架体。拆除作业过程中,当架体的自由 端高度超过 2 个步距时,必须采取临时拉结措施</x:v>
      </x:c>
      <x:c r="S250" s="41" t="n">
        <x:v>58</x:v>
      </x:c>
      <x:c r="T250" s="44" t="n">
        <x:v>47</x:v>
      </x:c>
    </x:row>
    <x:row r="251" ht="56" customHeight="1">
      <x:c r="A251" s="40" t="str">
        <x:v>JSJ-060</x:v>
      </x:c>
      <x:c r="B251" s="41" t="str">
        <x:v>启用</x:v>
      </x:c>
      <x:c r="C251" s="35" t="str">
        <x:v>脚手架搭设与拆除</x:v>
      </x:c>
      <x:c r="D251" s="35" t="str">
        <x:v>架体拆除</x:v>
      </x:c>
      <x:c r="E251" s="35" t="str">
        <x:v>搭设、使用、检查或拆除施工脚手架时</x:v>
      </x:c>
      <x:c r="F251" s="35" t="str">
        <x:v>剪刀撑、斜撑杆等加固杆件必须在拆卸至该杆件所在部位时再拆除</x:v>
      </x:c>
      <x:c r="G251" s="35" t="str">
        <x:v>无明确数值；按文本要求判断</x:v>
      </x:c>
      <x:c r="H251" s="41" t="str">
        <x:v>必须</x:v>
      </x:c>
      <x:c r="I251" s="35" t="str">
        <x:v>脚手架坍塌；高处坠落；物体打击</x:v>
      </x:c>
      <x:c r="J251" s="41" t="str">
        <x:v>重大</x:v>
      </x:c>
      <x:c r="K251" s="35" t="str">
        <x:v>架子工；安全员；施工员；班组长</x:v>
      </x:c>
      <x:c r="L251" s="35" t="str">
        <x:v>现场检查+人工确认</x:v>
      </x:c>
      <x:c r="M251" s="35" t="str">
        <x:v>建筑施工脚手架安全技术统一标准</x:v>
      </x:c>
      <x:c r="N251" s="35" t="str">
        <x:v>GB 51210-2016</x:v>
      </x:c>
      <x:c r="O251" s="35" t="str">
        <x:v>国家标准（部分条文强制）</x:v>
      </x:c>
      <x:c r="P251" s="35" t="str">
        <x:v>现行；与GB 55023-2022冲突时以后者为准</x:v>
      </x:c>
      <x:c r="Q251" s="35" t="str">
        <x:v>9.0.8</x:v>
      </x:c>
      <x:c r="R251" s="35" t="str">
        <x:v>9.8 脚手架的拆除作业必须符合下列规定: 1 架体的拆除应从上而下逐层进行,严禁上下同时作业; 2 同层杆件和构配件必须按先外后内的顺序拆除;剪刀撑、 斜撑杆等加固杆件必须在拆卸至该杆件所在部位时再拆除; 3 作业脚手架连墙件必须随架体逐层拆除,严禁先将连墙 件整层或数层拆除后再拆架体。拆除作业过程中,当架体的自由 端高度超过 2 个步距时,必须采取临时拉结措施</x:v>
      </x:c>
      <x:c r="S251" s="41" t="n">
        <x:v>58</x:v>
      </x:c>
      <x:c r="T251" s="44" t="n">
        <x:v>47</x:v>
      </x:c>
    </x:row>
    <x:row r="252" ht="56" customHeight="1">
      <x:c r="A252" s="40" t="str">
        <x:v>JSJ-061</x:v>
      </x:c>
      <x:c r="B252" s="41" t="str">
        <x:v>启用</x:v>
      </x:c>
      <x:c r="C252" s="35" t="str">
        <x:v>脚手架搭设与拆除</x:v>
      </x:c>
      <x:c r="D252" s="35" t="str">
        <x:v>架体拆除</x:v>
      </x:c>
      <x:c r="E252" s="35" t="str">
        <x:v>搭设、使用、检查或拆除施工脚手架时</x:v>
      </x:c>
      <x:c r="F252" s="35" t="str">
        <x:v>连墙件必须随架体逐层拆除；拆除中自由端高度超过2个步距时必须采取临时拉结措施</x:v>
      </x:c>
      <x:c r="G252" s="35" t="str">
        <x:v>2</x:v>
      </x:c>
      <x:c r="H252" s="41" t="str">
        <x:v>必须</x:v>
      </x:c>
      <x:c r="I252" s="35" t="str">
        <x:v>脚手架坍塌；高处坠落；物体打击</x:v>
      </x:c>
      <x:c r="J252" s="41" t="str">
        <x:v>重大</x:v>
      </x:c>
      <x:c r="K252" s="35" t="str">
        <x:v>架子工；安全员；施工员；班组长</x:v>
      </x:c>
      <x:c r="L252" s="35" t="str">
        <x:v>现场目视+尺寸/仪器测量</x:v>
      </x:c>
      <x:c r="M252" s="35" t="str">
        <x:v>建筑施工脚手架安全技术统一标准</x:v>
      </x:c>
      <x:c r="N252" s="35" t="str">
        <x:v>GB 51210-2016</x:v>
      </x:c>
      <x:c r="O252" s="35" t="str">
        <x:v>国家标准（部分条文强制）</x:v>
      </x:c>
      <x:c r="P252" s="35" t="str">
        <x:v>现行；与GB 55023-2022冲突时以后者为准</x:v>
      </x:c>
      <x:c r="Q252" s="35" t="str">
        <x:v>9.0.8</x:v>
      </x:c>
      <x:c r="R252" s="35" t="str">
        <x:v>9.8 脚手架的拆除作业必须符合下列规定: 1 架体的拆除应从上而下逐层进行,严禁上下同时作业; 2 同层杆件和构配件必须按先外后内的顺序拆除;剪刀撑、 斜撑杆等加固杆件必须在拆卸至该杆件所在部位时再拆除; 3 作业脚手架连墙件必须随架体逐层拆除,严禁先将连墙 件整层或数层拆除后再拆架体。拆除作业过程中,当架体的自由 端高度超过 2 个步距时,必须采取临时拉结措施</x:v>
      </x:c>
      <x:c r="S252" s="41" t="n">
        <x:v>58</x:v>
      </x:c>
      <x:c r="T252" s="44" t="n">
        <x:v>47</x:v>
      </x:c>
    </x:row>
    <x:row r="253" ht="56" customHeight="1">
      <x:c r="A253" s="40" t="str">
        <x:v>JSJ-062</x:v>
      </x:c>
      <x:c r="B253" s="41" t="str">
        <x:v>启用</x:v>
      </x:c>
      <x:c r="C253" s="35" t="str">
        <x:v>脚手架搭设与拆除</x:v>
      </x:c>
      <x:c r="D253" s="35" t="str">
        <x:v>构配件拆运</x:v>
      </x:c>
      <x:c r="E253" s="35" t="str">
        <x:v>搭设、使用、检查或拆除施工脚手架时</x:v>
      </x:c>
      <x:c r="F253" s="35" t="str">
        <x:v>脚手架拆除作业不得采用重锤击打或撬别</x:v>
      </x:c>
      <x:c r="G253" s="35" t="str">
        <x:v>无明确数值；按文本要求判断</x:v>
      </x:c>
      <x:c r="H253" s="41" t="str">
        <x:v>禁止/不得</x:v>
      </x:c>
      <x:c r="I253" s="35" t="str">
        <x:v>脚手架坍塌；高处坠落；物体打击</x:v>
      </x:c>
      <x:c r="J253" s="41" t="str">
        <x:v>重大</x:v>
      </x:c>
      <x:c r="K253" s="35" t="str">
        <x:v>架子工；安全员；施工员；班组长</x:v>
      </x:c>
      <x:c r="L253" s="35" t="str">
        <x:v>现场检查+人工确认</x:v>
      </x:c>
      <x:c r="M253" s="35" t="str">
        <x:v>建筑施工脚手架安全技术统一标准</x:v>
      </x:c>
      <x:c r="N253" s="35" t="str">
        <x:v>GB 51210-2016</x:v>
      </x:c>
      <x:c r="O253" s="35" t="str">
        <x:v>国家标准（部分条文强制）</x:v>
      </x:c>
      <x:c r="P253" s="35" t="str">
        <x:v>现行；与GB 55023-2022冲突时以后者为准</x:v>
      </x:c>
      <x:c r="Q253" s="35" t="str">
        <x:v>9.0.10</x:v>
      </x:c>
      <x:c r="R253" s="35" t="str">
        <x:v>9.10 脚手架的拆除作业不得重锤击打、撬别。拆除的杆件、 构配件应采用机械或人工运至地面,严禁抛掷</x:v>
      </x:c>
      <x:c r="S253" s="41" t="n">
        <x:v>58</x:v>
      </x:c>
      <x:c r="T253" s="44" t="n">
        <x:v>47</x:v>
      </x:c>
    </x:row>
    <x:row r="254" ht="56" customHeight="1">
      <x:c r="A254" s="40" t="str">
        <x:v>JSJ-063</x:v>
      </x:c>
      <x:c r="B254" s="41" t="str">
        <x:v>启用</x:v>
      </x:c>
      <x:c r="C254" s="35" t="str">
        <x:v>脚手架搭设与拆除</x:v>
      </x:c>
      <x:c r="D254" s="35" t="str">
        <x:v>构配件拆运</x:v>
      </x:c>
      <x:c r="E254" s="35" t="str">
        <x:v>搭设、使用、检查或拆除施工脚手架时</x:v>
      </x:c>
      <x:c r="F254" s="35" t="str">
        <x:v>拆除的杆件和构配件应采用机械或人工运至地面，严禁抛掷</x:v>
      </x:c>
      <x:c r="G254" s="35" t="str">
        <x:v>无明确数值；按文本要求判断</x:v>
      </x:c>
      <x:c r="H254" s="41" t="str">
        <x:v>禁止/不得</x:v>
      </x:c>
      <x:c r="I254" s="35" t="str">
        <x:v>脚手架坍塌；高处坠落；物体打击</x:v>
      </x:c>
      <x:c r="J254" s="41" t="str">
        <x:v>重大</x:v>
      </x:c>
      <x:c r="K254" s="35" t="str">
        <x:v>架子工；安全员；施工员；班组长</x:v>
      </x:c>
      <x:c r="L254" s="35" t="str">
        <x:v>现场检查+人工确认</x:v>
      </x:c>
      <x:c r="M254" s="35" t="str">
        <x:v>建筑施工脚手架安全技术统一标准</x:v>
      </x:c>
      <x:c r="N254" s="35" t="str">
        <x:v>GB 51210-2016</x:v>
      </x:c>
      <x:c r="O254" s="35" t="str">
        <x:v>国家标准（部分条文强制）</x:v>
      </x:c>
      <x:c r="P254" s="35" t="str">
        <x:v>现行；与GB 55023-2022冲突时以后者为准</x:v>
      </x:c>
      <x:c r="Q254" s="35" t="str">
        <x:v>9.0.10</x:v>
      </x:c>
      <x:c r="R254" s="35" t="str">
        <x:v>9.10 脚手架的拆除作业不得重锤击打、撬别。拆除的杆件、 构配件应采用机械或人工运至地面,严禁抛掷</x:v>
      </x:c>
      <x:c r="S254" s="41" t="n">
        <x:v>58</x:v>
      </x:c>
      <x:c r="T254" s="44" t="n">
        <x:v>47</x:v>
      </x:c>
    </x:row>
    <x:row r="255" ht="56" customHeight="1">
      <x:c r="A255" s="40" t="str">
        <x:v>JSJ-064</x:v>
      </x:c>
      <x:c r="B255" s="41" t="str">
        <x:v>启用</x:v>
      </x:c>
      <x:c r="C255" s="35" t="str">
        <x:v>施工脚手架</x:v>
      </x:c>
      <x:c r="D255" s="35" t="str">
        <x:v>完工验收</x:v>
      </x:c>
      <x:c r="E255" s="35" t="str">
        <x:v>搭设、使用、检查或拆除施工脚手架时</x:v>
      </x:c>
      <x:c r="F255" s="35" t="str">
        <x:v>脚手架搭设完工后应进行验收，验收合格后方可使用</x:v>
      </x:c>
      <x:c r="G255" s="35" t="str">
        <x:v>无明确数值；按文本要求判断</x:v>
      </x:c>
      <x:c r="H255" s="41" t="str">
        <x:v>应执行</x:v>
      </x:c>
      <x:c r="I255" s="35" t="str">
        <x:v>脚手架坍塌；高处坠落；物体打击</x:v>
      </x:c>
      <x:c r="J255" s="41" t="str">
        <x:v>较大</x:v>
      </x:c>
      <x:c r="K255" s="35" t="str">
        <x:v>架子工；安全员；施工员；班组长</x:v>
      </x:c>
      <x:c r="L255" s="35" t="str">
        <x:v>现场检查+人工确认</x:v>
      </x:c>
      <x:c r="M255" s="35" t="str">
        <x:v>建筑施工脚手架安全技术统一标准</x:v>
      </x:c>
      <x:c r="N255" s="35" t="str">
        <x:v>GB 51210-2016</x:v>
      </x:c>
      <x:c r="O255" s="35" t="str">
        <x:v>国家标准（部分条文强制）</x:v>
      </x:c>
      <x:c r="P255" s="35" t="str">
        <x:v>现行；与GB 55023-2022冲突时以后者为准</x:v>
      </x:c>
      <x:c r="Q255" s="35" t="str">
        <x:v>10.0.2</x:v>
      </x:c>
      <x:c r="R255" s="35" t="str">
        <x:v>10.0.2 脚手架工程应按下列规定进行质量控制: 1 对搭设脚手架的材料、构配件和设备应进行现场检验, 2 脚手架搭设过程中应分步校验,并应进行阶段施工质量 检查; 3 在脚手架搭设完工后应进行验收,并应在验收合格后方 可使用</x:v>
      </x:c>
      <x:c r="S255" s="41" t="n">
        <x:v>59</x:v>
      </x:c>
      <x:c r="T255" s="44" t="n">
        <x:v>48</x:v>
      </x:c>
    </x:row>
    <x:row r="256" ht="56" customHeight="1">
      <x:c r="A256" s="40" t="str">
        <x:v>MQ-001</x:v>
      </x:c>
      <x:c r="B256" s="41" t="str">
        <x:v>启用</x:v>
      </x:c>
      <x:c r="C256" s="35" t="str">
        <x:v>建筑幕墙设计</x:v>
      </x:c>
      <x:c r="D256" s="35" t="str">
        <x:v>抗风压性能设计</x:v>
      </x:c>
      <x:c r="E256" s="35" t="str">
        <x:v>设计、选材、加工、安装或验收建筑幕墙时</x:v>
      </x:c>
      <x:c r="F256" s="35" t="str">
        <x:v>幕墙抗风压性能指标不应低于幕墙所受风荷载标准值</x:v>
      </x:c>
      <x:c r="G256" s="35" t="str">
        <x:v>无明确数值；按文本要求判断</x:v>
      </x:c>
      <x:c r="H256" s="41" t="str">
        <x:v>禁止/不得</x:v>
      </x:c>
      <x:c r="I256" s="35" t="str">
        <x:v>构件坠落；玻璃破裂；高处坠落</x:v>
      </x:c>
      <x:c r="J256" s="41" t="str">
        <x:v>重大</x:v>
      </x:c>
      <x:c r="K256" s="35" t="str">
        <x:v>幕墙设计人员；技术负责人；施工员；质量员；安全员</x:v>
      </x:c>
      <x:c r="L256" s="35" t="str">
        <x:v>文件核验</x:v>
      </x:c>
      <x:c r="M256" s="35" t="str">
        <x:v>建筑幕墙</x:v>
      </x:c>
      <x:c r="N256" s="35" t="str">
        <x:v>GB/T 21086-2007</x:v>
      </x:c>
      <x:c r="O256" s="35" t="str">
        <x:v>推荐性国家标准</x:v>
      </x:c>
      <x:c r="P256" s="35" t="str">
        <x:v>现行（国家标准公开平台截至2026-08-19）</x:v>
      </x:c>
      <x:c r="Q256" s="35" t="str">
        <x:v>5.1.1.1</x:v>
      </x:c>
      <x:c r="R256" s="35" t="str">
        <x:v>5.1.1.1 幕墙的抗风压性能指标应根据幕墙所受的风荷载标准值Wk确定，其指标值不应低于Wk，且不应小于1.0kPa。Wk的计算应符合GB 50009的规定。</x:v>
      </x:c>
      <x:c r="S256" s="41" t="n">
        <x:v>8</x:v>
      </x:c>
      <x:c r="T256" s="44" t="n">
        <x:v>5</x:v>
      </x:c>
    </x:row>
    <x:row r="257" ht="56" customHeight="1">
      <x:c r="A257" s="40" t="str">
        <x:v>MQ-002</x:v>
      </x:c>
      <x:c r="B257" s="41" t="str">
        <x:v>启用</x:v>
      </x:c>
      <x:c r="C257" s="35" t="str">
        <x:v>建筑幕墙设计</x:v>
      </x:c>
      <x:c r="D257" s="35" t="str">
        <x:v>抗风压性能设计</x:v>
      </x:c>
      <x:c r="E257" s="35" t="str">
        <x:v>设计、选材、加工、安装或验收建筑幕墙时</x:v>
      </x:c>
      <x:c r="F257" s="35" t="str">
        <x:v>幕墙抗风压性能指标不应小于1.0kPa</x:v>
      </x:c>
      <x:c r="G257" s="35" t="str">
        <x:v>1.0kPa</x:v>
      </x:c>
      <x:c r="H257" s="41" t="str">
        <x:v>禁止/不得</x:v>
      </x:c>
      <x:c r="I257" s="35" t="str">
        <x:v>构件坠落；玻璃破裂；高处坠落</x:v>
      </x:c>
      <x:c r="J257" s="41" t="str">
        <x:v>重大</x:v>
      </x:c>
      <x:c r="K257" s="35" t="str">
        <x:v>幕墙设计人员；技术负责人；施工员；质量员；安全员</x:v>
      </x:c>
      <x:c r="L257" s="35" t="str">
        <x:v>现场目视+尺寸/仪器测量</x:v>
      </x:c>
      <x:c r="M257" s="35" t="str">
        <x:v>建筑幕墙</x:v>
      </x:c>
      <x:c r="N257" s="35" t="str">
        <x:v>GB/T 21086-2007</x:v>
      </x:c>
      <x:c r="O257" s="35" t="str">
        <x:v>推荐性国家标准</x:v>
      </x:c>
      <x:c r="P257" s="35" t="str">
        <x:v>现行（国家标准公开平台截至2026-08-19）</x:v>
      </x:c>
      <x:c r="Q257" s="35" t="str">
        <x:v>5.1.1.1</x:v>
      </x:c>
      <x:c r="R257" s="35" t="str">
        <x:v>5.1.1.1 幕墙的抗风压性能指标应根据幕墙所受的风荷载标准值Wk确定，其指标值不应低于Wk，且不应小于1.0kPa。Wk的计算应符合GB 50009的规定。</x:v>
      </x:c>
      <x:c r="S257" s="41" t="n">
        <x:v>8</x:v>
      </x:c>
      <x:c r="T257" s="44" t="n">
        <x:v>5</x:v>
      </x:c>
    </x:row>
    <x:row r="258" ht="56" customHeight="1">
      <x:c r="A258" s="40" t="str">
        <x:v>MQ-003</x:v>
      </x:c>
      <x:c r="B258" s="41" t="str">
        <x:v>启用</x:v>
      </x:c>
      <x:c r="C258" s="35" t="str">
        <x:v>建筑幕墙设计</x:v>
      </x:c>
      <x:c r="D258" s="35" t="str">
        <x:v>抗风压性能设计</x:v>
      </x:c>
      <x:c r="E258" s="35" t="str">
        <x:v>设计、选材、加工、安装或验收建筑幕墙时</x:v>
      </x:c>
      <x:c r="F258" s="35" t="str">
        <x:v>在抗风压性能指标值作用下，幕墙支承体系和面板的相对挠度与绝对挠度不得超过标准限值</x:v>
      </x:c>
      <x:c r="G258" s="35" t="str">
        <x:v>无明确数值；按文本要求判断</x:v>
      </x:c>
      <x:c r="H258" s="41" t="str">
        <x:v>禁止/不得</x:v>
      </x:c>
      <x:c r="I258" s="35" t="str">
        <x:v>构件坠落；玻璃破裂；高处坠落</x:v>
      </x:c>
      <x:c r="J258" s="41" t="str">
        <x:v>重大</x:v>
      </x:c>
      <x:c r="K258" s="35" t="str">
        <x:v>幕墙设计人员；技术负责人；施工员；质量员；安全员</x:v>
      </x:c>
      <x:c r="L258" s="35" t="str">
        <x:v>文件核验</x:v>
      </x:c>
      <x:c r="M258" s="35" t="str">
        <x:v>建筑幕墙</x:v>
      </x:c>
      <x:c r="N258" s="35" t="str">
        <x:v>GB/T 21086-2007</x:v>
      </x:c>
      <x:c r="O258" s="35" t="str">
        <x:v>推荐性国家标准</x:v>
      </x:c>
      <x:c r="P258" s="35" t="str">
        <x:v>现行（国家标准公开平台截至2026-08-19）</x:v>
      </x:c>
      <x:c r="Q258" s="35" t="str">
        <x:v>5.1.1.2</x:v>
      </x:c>
      <x:c r="R258" s="35" t="str">
        <x:v>5.1.1.2 在抗风压性能指标值作用下，幕墙支承体系和面板的相对挠度和绝对挠度不应大于表11的要求。</x:v>
      </x:c>
      <x:c r="S258" s="41" t="n">
        <x:v>8</x:v>
      </x:c>
      <x:c r="T258" s="44" t="n">
        <x:v>5</x:v>
      </x:c>
    </x:row>
    <x:row r="259" ht="56" customHeight="1">
      <x:c r="A259" s="40" t="str">
        <x:v>MQ-004</x:v>
      </x:c>
      <x:c r="B259" s="41" t="str">
        <x:v>启用</x:v>
      </x:c>
      <x:c r="C259" s="35" t="str">
        <x:v>幕墙安装与验收</x:v>
      </x:c>
      <x:c r="D259" s="35" t="str">
        <x:v>水密性能验收</x:v>
      </x:c>
      <x:c r="E259" s="35" t="str">
        <x:v>设计、选材、加工、安装或验收建筑幕墙时</x:v>
      </x:c>
      <x:c r="F259" s="35" t="str">
        <x:v>有水密性要求的建筑幕墙在现场淋水试验中不应发生水渗漏</x:v>
      </x:c>
      <x:c r="G259" s="35" t="str">
        <x:v>无明确数值；按文本要求判断</x:v>
      </x:c>
      <x:c r="H259" s="41" t="str">
        <x:v>禁止/不得</x:v>
      </x:c>
      <x:c r="I259" s="35" t="str">
        <x:v>构件坠落；玻璃破裂；高处坠落</x:v>
      </x:c>
      <x:c r="J259" s="41" t="str">
        <x:v>重大</x:v>
      </x:c>
      <x:c r="K259" s="35" t="str">
        <x:v>幕墙设计人员；技术负责人；施工员；质量员；安全员</x:v>
      </x:c>
      <x:c r="L259" s="35" t="str">
        <x:v>文件核验</x:v>
      </x:c>
      <x:c r="M259" s="35" t="str">
        <x:v>建筑幕墙</x:v>
      </x:c>
      <x:c r="N259" s="35" t="str">
        <x:v>GB/T 21086-2007</x:v>
      </x:c>
      <x:c r="O259" s="35" t="str">
        <x:v>推荐性国家标准</x:v>
      </x:c>
      <x:c r="P259" s="35" t="str">
        <x:v>现行（国家标准公开平台截至2026-08-19）</x:v>
      </x:c>
      <x:c r="Q259" s="35" t="str">
        <x:v>5.1.2.3</x:v>
      </x:c>
      <x:c r="R259" s="35" t="str">
        <x:v>5.1.2.3 有水密性要求的建筑幕墙在现场淋水试验中,不应发生水渗漏现象</x:v>
      </x:c>
      <x:c r="S259" s="41" t="n">
        <x:v>10</x:v>
      </x:c>
      <x:c r="T259" s="44" t="n">
        <x:v>7</x:v>
      </x:c>
    </x:row>
    <x:row r="260" ht="56" customHeight="1">
      <x:c r="A260" s="40" t="str">
        <x:v>MQ-005</x:v>
      </x:c>
      <x:c r="B260" s="41" t="str">
        <x:v>启用</x:v>
      </x:c>
      <x:c r="C260" s="35" t="str">
        <x:v>建筑幕墙设计</x:v>
      </x:c>
      <x:c r="D260" s="35" t="str">
        <x:v>抗震性能设计</x:v>
      </x:c>
      <x:c r="E260" s="35" t="str">
        <x:v>设计、选材、加工、安装或验收建筑幕墙时</x:v>
      </x:c>
      <x:c r="F260" s="35" t="str">
        <x:v>建筑幕墙抗震性能应满足GB 50011的要求</x:v>
      </x:c>
      <x:c r="G260" s="35" t="str">
        <x:v>GB 50011</x:v>
      </x:c>
      <x:c r="H260" s="41" t="str">
        <x:v>应执行</x:v>
      </x:c>
      <x:c r="I260" s="35" t="str">
        <x:v>构件坠落；玻璃破裂；高处坠落</x:v>
      </x:c>
      <x:c r="J260" s="41" t="str">
        <x:v>重大</x:v>
      </x:c>
      <x:c r="K260" s="35" t="str">
        <x:v>幕墙设计人员；技术负责人；施工员；质量员；安全员</x:v>
      </x:c>
      <x:c r="L260" s="35" t="str">
        <x:v>现场目视+尺寸/仪器测量</x:v>
      </x:c>
      <x:c r="M260" s="35" t="str">
        <x:v>建筑幕墙</x:v>
      </x:c>
      <x:c r="N260" s="35" t="str">
        <x:v>GB/T 21086-2007</x:v>
      </x:c>
      <x:c r="O260" s="35" t="str">
        <x:v>推荐性国家标准</x:v>
      </x:c>
      <x:c r="P260" s="35" t="str">
        <x:v>现行（国家标准公开平台截至2026-08-19）</x:v>
      </x:c>
      <x:c r="Q260" s="35" t="str">
        <x:v>5.1.6.1</x:v>
      </x:c>
      <x:c r="R260" s="35" t="str">
        <x:v>5.1.6.1 抗震性能应满足 GB50011的要求</x:v>
      </x:c>
      <x:c r="S260" s="41" t="n">
        <x:v>11</x:v>
      </x:c>
      <x:c r="T260" s="44" t="n">
        <x:v>8</x:v>
      </x:c>
    </x:row>
    <x:row r="261" ht="56" customHeight="1">
      <x:c r="A261" s="40" t="str">
        <x:v>MQ-006</x:v>
      </x:c>
      <x:c r="B261" s="41" t="str">
        <x:v>启用</x:v>
      </x:c>
      <x:c r="C261" s="35" t="str">
        <x:v>建筑幕墙设计</x:v>
      </x:c>
      <x:c r="D261" s="35" t="str">
        <x:v>抗震性能设计</x:v>
      </x:c>
      <x:c r="E261" s="35" t="str">
        <x:v>设计、选材、加工、安装或验收建筑幕墙时</x:v>
      </x:c>
      <x:c r="F261" s="35" t="str">
        <x:v>建筑幕墙应满足所在地抗震设防烈度要求</x:v>
      </x:c>
      <x:c r="G261" s="35" t="str">
        <x:v>无明确数值；按文本要求判断</x:v>
      </x:c>
      <x:c r="H261" s="41" t="str">
        <x:v>应执行</x:v>
      </x:c>
      <x:c r="I261" s="35" t="str">
        <x:v>构件坠落；玻璃破裂；高处坠落</x:v>
      </x:c>
      <x:c r="J261" s="41" t="str">
        <x:v>重大</x:v>
      </x:c>
      <x:c r="K261" s="35" t="str">
        <x:v>幕墙设计人员；技术负责人；施工员；质量员；安全员</x:v>
      </x:c>
      <x:c r="L261" s="35" t="str">
        <x:v>现场检查+人工确认</x:v>
      </x:c>
      <x:c r="M261" s="35" t="str">
        <x:v>建筑幕墙</x:v>
      </x:c>
      <x:c r="N261" s="35" t="str">
        <x:v>GB/T 21086-2007</x:v>
      </x:c>
      <x:c r="O261" s="35" t="str">
        <x:v>推荐性国家标准</x:v>
      </x:c>
      <x:c r="P261" s="35" t="str">
        <x:v>现行（国家标准公开平台截至2026-08-19）</x:v>
      </x:c>
      <x:c r="Q261" s="35" t="str">
        <x:v>5.1.6.3</x:v>
      </x:c>
      <x:c r="R261" s="35" t="str">
        <x:v>5.1.6.3 建筑幕墙应满足所在地抗震设防烈度的要求。对有抗震设防要求的建筑幕墙,其试验样品在 设计的试验峰值加速度条件下不应发生破坏。幕墙具备下列条件之一时应进行振动台抗震性能试验或 其他可行的验证试验: a) 面板为脆性材料,且单块面板面积或厚度超过现行标准或规范的限制; b) 面板为脆性材料,且与后部支承结构的连接体系为首次应用; c) 应用高度超过标准或规范规定的高度限制; d) 所在地区为9度以上(含9度)设防烈度</x:v>
      </x:c>
      <x:c r="S261" s="41" t="n">
        <x:v>12</x:v>
      </x:c>
      <x:c r="T261" s="44" t="n">
        <x:v>9</x:v>
      </x:c>
    </x:row>
    <x:row r="262" ht="56" customHeight="1">
      <x:c r="A262" s="40" t="str">
        <x:v>MQ-007</x:v>
      </x:c>
      <x:c r="B262" s="41" t="str">
        <x:v>启用</x:v>
      </x:c>
      <x:c r="C262" s="35" t="str">
        <x:v>建筑幕墙设计</x:v>
      </x:c>
      <x:c r="D262" s="35" t="str">
        <x:v>抗震性能验证</x:v>
      </x:c>
      <x:c r="E262" s="35" t="str">
        <x:v>设计、选材、加工、安装或验收建筑幕墙时</x:v>
      </x:c>
      <x:c r="F262" s="35" t="str">
        <x:v>有抗震设防要求的幕墙试验样品在设计试验峰值加速度条件下不应发生破坏</x:v>
      </x:c>
      <x:c r="G262" s="35" t="str">
        <x:v>无明确数值；按文本要求判断</x:v>
      </x:c>
      <x:c r="H262" s="41" t="str">
        <x:v>禁止/不得</x:v>
      </x:c>
      <x:c r="I262" s="35" t="str">
        <x:v>构件坠落；玻璃破裂；高处坠落</x:v>
      </x:c>
      <x:c r="J262" s="41" t="str">
        <x:v>重大</x:v>
      </x:c>
      <x:c r="K262" s="35" t="str">
        <x:v>幕墙设计人员；技术负责人；施工员；质量员；安全员</x:v>
      </x:c>
      <x:c r="L262" s="35" t="str">
        <x:v>文件核验</x:v>
      </x:c>
      <x:c r="M262" s="35" t="str">
        <x:v>建筑幕墙</x:v>
      </x:c>
      <x:c r="N262" s="35" t="str">
        <x:v>GB/T 21086-2007</x:v>
      </x:c>
      <x:c r="O262" s="35" t="str">
        <x:v>推荐性国家标准</x:v>
      </x:c>
      <x:c r="P262" s="35" t="str">
        <x:v>现行（国家标准公开平台截至2026-08-19）</x:v>
      </x:c>
      <x:c r="Q262" s="35" t="str">
        <x:v>5.1.6.3</x:v>
      </x:c>
      <x:c r="R262" s="35" t="str">
        <x:v>5.1.6.3 建筑幕墙应满足所在地抗震设防烈度的要求。对有抗震设防要求的建筑幕墙,其试验样品在 设计的试验峰值加速度条件下不应发生破坏。幕墙具备下列条件之一时应进行振动台抗震性能试验或 其他可行的验证试验: a) 面板为脆性材料,且单块面板面积或厚度超过现行标准或规范的限制; b) 面板为脆性材料,且与后部支承结构的连接体系为首次应用; c) 应用高度超过标准或规范规定的高度限制; d) 所在地区为9度以上(含9度)设防烈度</x:v>
      </x:c>
      <x:c r="S262" s="41" t="n">
        <x:v>12</x:v>
      </x:c>
      <x:c r="T262" s="44" t="n">
        <x:v>9</x:v>
      </x:c>
    </x:row>
    <x:row r="263" ht="56" customHeight="1">
      <x:c r="A263" s="40" t="str">
        <x:v>MQ-008</x:v>
      </x:c>
      <x:c r="B263" s="41" t="str">
        <x:v>启用</x:v>
      </x:c>
      <x:c r="C263" s="35" t="str">
        <x:v>建筑幕墙设计</x:v>
      </x:c>
      <x:c r="D263" s="35" t="str">
        <x:v>抗震性能验证</x:v>
      </x:c>
      <x:c r="E263" s="35" t="str">
        <x:v>设计、选材、加工、安装或验收建筑幕墙时</x:v>
      </x:c>
      <x:c r="F263" s="35" t="str">
        <x:v>脆性面板单块面积或厚度超过现行标准限制时，应进行振动台抗震性能试验或其他可行验证试验</x:v>
      </x:c>
      <x:c r="G263" s="35" t="str">
        <x:v>无明确数值；按文本要求判断</x:v>
      </x:c>
      <x:c r="H263" s="41" t="str">
        <x:v>应执行</x:v>
      </x:c>
      <x:c r="I263" s="35" t="str">
        <x:v>构件坠落；玻璃破裂；高处坠落</x:v>
      </x:c>
      <x:c r="J263" s="41" t="str">
        <x:v>重大</x:v>
      </x:c>
      <x:c r="K263" s="35" t="str">
        <x:v>幕墙设计人员；技术负责人；施工员；质量员；安全员</x:v>
      </x:c>
      <x:c r="L263" s="35" t="str">
        <x:v>文件核验</x:v>
      </x:c>
      <x:c r="M263" s="35" t="str">
        <x:v>建筑幕墙</x:v>
      </x:c>
      <x:c r="N263" s="35" t="str">
        <x:v>GB/T 21086-2007</x:v>
      </x:c>
      <x:c r="O263" s="35" t="str">
        <x:v>推荐性国家标准</x:v>
      </x:c>
      <x:c r="P263" s="35" t="str">
        <x:v>现行（国家标准公开平台截至2026-08-19）</x:v>
      </x:c>
      <x:c r="Q263" s="35" t="str">
        <x:v>5.1.6.3</x:v>
      </x:c>
      <x:c r="R263" s="35" t="str">
        <x:v>5.1.6.3 建筑幕墙应满足所在地抗震设防烈度的要求。对有抗震设防要求的建筑幕墙,其试验样品在 设计的试验峰值加速度条件下不应发生破坏。幕墙具备下列条件之一时应进行振动台抗震性能试验或 其他可行的验证试验: a) 面板为脆性材料,且单块面板面积或厚度超过现行标准或规范的限制; b) 面板为脆性材料,且与后部支承结构的连接体系为首次应用; c) 应用高度超过标准或规范规定的高度限制; d) 所在地区为9度以上(含9度)设防烈度</x:v>
      </x:c>
      <x:c r="S263" s="41" t="n">
        <x:v>12</x:v>
      </x:c>
      <x:c r="T263" s="44" t="n">
        <x:v>9</x:v>
      </x:c>
    </x:row>
    <x:row r="264" ht="56" customHeight="1">
      <x:c r="A264" s="40" t="str">
        <x:v>MQ-009</x:v>
      </x:c>
      <x:c r="B264" s="41" t="str">
        <x:v>启用</x:v>
      </x:c>
      <x:c r="C264" s="35" t="str">
        <x:v>建筑幕墙设计</x:v>
      </x:c>
      <x:c r="D264" s="35" t="str">
        <x:v>抗震性能验证</x:v>
      </x:c>
      <x:c r="E264" s="35" t="str">
        <x:v>设计、选材、加工、安装或验收建筑幕墙时</x:v>
      </x:c>
      <x:c r="F264" s="35" t="str">
        <x:v>脆性面板采用首次应用的后部支承连接体系时，应进行振动台抗震性能试验或其他可行验证试验</x:v>
      </x:c>
      <x:c r="G264" s="35" t="str">
        <x:v>无明确数值；按文本要求判断</x:v>
      </x:c>
      <x:c r="H264" s="41" t="str">
        <x:v>应执行</x:v>
      </x:c>
      <x:c r="I264" s="35" t="str">
        <x:v>构件坠落；玻璃破裂；高处坠落</x:v>
      </x:c>
      <x:c r="J264" s="41" t="str">
        <x:v>重大</x:v>
      </x:c>
      <x:c r="K264" s="35" t="str">
        <x:v>幕墙设计人员；技术负责人；施工员；质量员；安全员</x:v>
      </x:c>
      <x:c r="L264" s="35" t="str">
        <x:v>文件核验</x:v>
      </x:c>
      <x:c r="M264" s="35" t="str">
        <x:v>建筑幕墙</x:v>
      </x:c>
      <x:c r="N264" s="35" t="str">
        <x:v>GB/T 21086-2007</x:v>
      </x:c>
      <x:c r="O264" s="35" t="str">
        <x:v>推荐性国家标准</x:v>
      </x:c>
      <x:c r="P264" s="35" t="str">
        <x:v>现行（国家标准公开平台截至2026-08-19）</x:v>
      </x:c>
      <x:c r="Q264" s="35" t="str">
        <x:v>5.1.6.3</x:v>
      </x:c>
      <x:c r="R264" s="35" t="str">
        <x:v>5.1.6.3 建筑幕墙应满足所在地抗震设防烈度的要求。对有抗震设防要求的建筑幕墙,其试验样品在 设计的试验峰值加速度条件下不应发生破坏。幕墙具备下列条件之一时应进行振动台抗震性能试验或 其他可行的验证试验: a) 面板为脆性材料,且单块面板面积或厚度超过现行标准或规范的限制; b) 面板为脆性材料,且与后部支承结构的连接体系为首次应用; c) 应用高度超过标准或规范规定的高度限制; d) 所在地区为9度以上(含9度)设防烈度</x:v>
      </x:c>
      <x:c r="S264" s="41" t="n">
        <x:v>12</x:v>
      </x:c>
      <x:c r="T264" s="44" t="n">
        <x:v>9</x:v>
      </x:c>
    </x:row>
    <x:row r="265" ht="56" customHeight="1">
      <x:c r="A265" s="40" t="str">
        <x:v>MQ-010</x:v>
      </x:c>
      <x:c r="B265" s="41" t="str">
        <x:v>启用</x:v>
      </x:c>
      <x:c r="C265" s="35" t="str">
        <x:v>建筑幕墙设计</x:v>
      </x:c>
      <x:c r="D265" s="35" t="str">
        <x:v>抗震性能验证</x:v>
      </x:c>
      <x:c r="E265" s="35" t="str">
        <x:v>设计、选材、加工、安装或验收建筑幕墙时</x:v>
      </x:c>
      <x:c r="F265" s="35" t="str">
        <x:v>幕墙应用高度超过标准或规范限制时，应进行振动台抗震性能试验或其他可行验证试验</x:v>
      </x:c>
      <x:c r="G265" s="35" t="str">
        <x:v>无明确数值；按文本要求判断</x:v>
      </x:c>
      <x:c r="H265" s="41" t="str">
        <x:v>应执行</x:v>
      </x:c>
      <x:c r="I265" s="35" t="str">
        <x:v>构件坠落；玻璃破裂；高处坠落</x:v>
      </x:c>
      <x:c r="J265" s="41" t="str">
        <x:v>重大</x:v>
      </x:c>
      <x:c r="K265" s="35" t="str">
        <x:v>幕墙设计人员；技术负责人；施工员；质量员；安全员</x:v>
      </x:c>
      <x:c r="L265" s="35" t="str">
        <x:v>文件核验</x:v>
      </x:c>
      <x:c r="M265" s="35" t="str">
        <x:v>建筑幕墙</x:v>
      </x:c>
      <x:c r="N265" s="35" t="str">
        <x:v>GB/T 21086-2007</x:v>
      </x:c>
      <x:c r="O265" s="35" t="str">
        <x:v>推荐性国家标准</x:v>
      </x:c>
      <x:c r="P265" s="35" t="str">
        <x:v>现行（国家标准公开平台截至2026-08-19）</x:v>
      </x:c>
      <x:c r="Q265" s="35" t="str">
        <x:v>5.1.6.3</x:v>
      </x:c>
      <x:c r="R265" s="35" t="str">
        <x:v>5.1.6.3 建筑幕墙应满足所在地抗震设防烈度的要求。对有抗震设防要求的建筑幕墙,其试验样品在 设计的试验峰值加速度条件下不应发生破坏。幕墙具备下列条件之一时应进行振动台抗震性能试验或 其他可行的验证试验: a) 面板为脆性材料,且单块面板面积或厚度超过现行标准或规范的限制; b) 面板为脆性材料,且与后部支承结构的连接体系为首次应用; c) 应用高度超过标准或规范规定的高度限制; d) 所在地区为9度以上(含9度)设防烈度</x:v>
      </x:c>
      <x:c r="S265" s="41" t="n">
        <x:v>12</x:v>
      </x:c>
      <x:c r="T265" s="44" t="n">
        <x:v>9</x:v>
      </x:c>
    </x:row>
    <x:row r="266" ht="56" customHeight="1">
      <x:c r="A266" s="40" t="str">
        <x:v>MQ-011</x:v>
      </x:c>
      <x:c r="B266" s="41" t="str">
        <x:v>启用</x:v>
      </x:c>
      <x:c r="C266" s="35" t="str">
        <x:v>建筑幕墙设计</x:v>
      </x:c>
      <x:c r="D266" s="35" t="str">
        <x:v>抗震性能验证</x:v>
      </x:c>
      <x:c r="E266" s="35" t="str">
        <x:v>设计、选材、加工、安装或验收建筑幕墙时</x:v>
      </x:c>
      <x:c r="F266" s="35" t="str">
        <x:v>幕墙所在地区抗震设防烈度为9度及以上时，应进行振动台抗震性能试验或其他可行验证试验</x:v>
      </x:c>
      <x:c r="G266" s="35" t="str">
        <x:v>无明确数值；按文本要求判断</x:v>
      </x:c>
      <x:c r="H266" s="41" t="str">
        <x:v>应执行</x:v>
      </x:c>
      <x:c r="I266" s="35" t="str">
        <x:v>构件坠落；玻璃破裂；高处坠落</x:v>
      </x:c>
      <x:c r="J266" s="41" t="str">
        <x:v>重大</x:v>
      </x:c>
      <x:c r="K266" s="35" t="str">
        <x:v>幕墙设计人员；技术负责人；施工员；质量员；安全员</x:v>
      </x:c>
      <x:c r="L266" s="35" t="str">
        <x:v>文件核验+尺寸/仪器测量</x:v>
      </x:c>
      <x:c r="M266" s="35" t="str">
        <x:v>建筑幕墙</x:v>
      </x:c>
      <x:c r="N266" s="35" t="str">
        <x:v>GB/T 21086-2007</x:v>
      </x:c>
      <x:c r="O266" s="35" t="str">
        <x:v>推荐性国家标准</x:v>
      </x:c>
      <x:c r="P266" s="35" t="str">
        <x:v>现行（国家标准公开平台截至2026-08-19）</x:v>
      </x:c>
      <x:c r="Q266" s="35" t="str">
        <x:v>5.1.6.3</x:v>
      </x:c>
      <x:c r="R266" s="35" t="str">
        <x:v>5.1.6.3 建筑幕墙应满足所在地抗震设防烈度的要求。对有抗震设防要求的建筑幕墙,其试验样品在 设计的试验峰值加速度条件下不应发生破坏。幕墙具备下列条件之一时应进行振动台抗震性能试验或 其他可行的验证试验: a) 面板为脆性材料,且单块面板面积或厚度超过现行标准或规范的限制; b) 面板为脆性材料,且与后部支承结构的连接体系为首次应用; c) 应用高度超过标准或规范规定的高度限制; d) 所在地区为9度以上(含9度)设防烈度</x:v>
      </x:c>
      <x:c r="S266" s="41" t="n">
        <x:v>12</x:v>
      </x:c>
      <x:c r="T266" s="44" t="n">
        <x:v>9</x:v>
      </x:c>
    </x:row>
    <x:row r="267" ht="56" customHeight="1">
      <x:c r="A267" s="40" t="str">
        <x:v>MQ-012</x:v>
      </x:c>
      <x:c r="B267" s="41" t="str">
        <x:v>启用</x:v>
      </x:c>
      <x:c r="C267" s="35" t="str">
        <x:v>建筑幕墙设计</x:v>
      </x:c>
      <x:c r="D267" s="35" t="str">
        <x:v>耐撞击性能设计</x:v>
      </x:c>
      <x:c r="E267" s="35" t="str">
        <x:v>设计、选材、加工、安装或验收建筑幕墙时</x:v>
      </x:c>
      <x:c r="F267" s="35" t="str">
        <x:v>建筑幕墙耐撞击性能应满足设计要求</x:v>
      </x:c>
      <x:c r="G267" s="35" t="str">
        <x:v>无明确数值；按文本要求判断</x:v>
      </x:c>
      <x:c r="H267" s="41" t="str">
        <x:v>应执行</x:v>
      </x:c>
      <x:c r="I267" s="35" t="str">
        <x:v>构件坠落；玻璃破裂；高处坠落</x:v>
      </x:c>
      <x:c r="J267" s="41" t="str">
        <x:v>较大</x:v>
      </x:c>
      <x:c r="K267" s="35" t="str">
        <x:v>幕墙设计人员；技术负责人；施工员；质量员；安全员</x:v>
      </x:c>
      <x:c r="L267" s="35" t="str">
        <x:v>文件核验</x:v>
      </x:c>
      <x:c r="M267" s="35" t="str">
        <x:v>建筑幕墙</x:v>
      </x:c>
      <x:c r="N267" s="35" t="str">
        <x:v>GB/T 21086-2007</x:v>
      </x:c>
      <x:c r="O267" s="35" t="str">
        <x:v>推荐性国家标准</x:v>
      </x:c>
      <x:c r="P267" s="35" t="str">
        <x:v>现行（国家标准公开平台截至2026-08-19）</x:v>
      </x:c>
      <x:c r="Q267" s="35" t="str">
        <x:v>5.1.7.1</x:v>
      </x:c>
      <x:c r="R267" s="35" t="str">
        <x:v>5.1.7.1 耐撞击性能应满足设计要求。人员流动密度大或青少年、幼儿活动的公共建筑的建筑幕墙, 耐撞击性能指标不应低于表22中2级</x:v>
      </x:c>
      <x:c r="S267" s="41" t="n">
        <x:v>12</x:v>
      </x:c>
      <x:c r="T267" s="44" t="n">
        <x:v>9</x:v>
      </x:c>
    </x:row>
    <x:row r="268" ht="56" customHeight="1">
      <x:c r="A268" s="40" t="str">
        <x:v>MQ-013</x:v>
      </x:c>
      <x:c r="B268" s="41" t="str">
        <x:v>启用</x:v>
      </x:c>
      <x:c r="C268" s="35" t="str">
        <x:v>建筑幕墙设计</x:v>
      </x:c>
      <x:c r="D268" s="35" t="str">
        <x:v>耐撞击性能设计</x:v>
      </x:c>
      <x:c r="E268" s="35" t="str">
        <x:v>设计、选材、加工、安装或验收建筑幕墙时</x:v>
      </x:c>
      <x:c r="F268" s="35" t="str">
        <x:v>人员流动密度大或有青少年、幼儿活动的公共建筑幕墙，耐撞击性能不得低于2级</x:v>
      </x:c>
      <x:c r="G268" s="35" t="str">
        <x:v>2级</x:v>
      </x:c>
      <x:c r="H268" s="41" t="str">
        <x:v>禁止/不得</x:v>
      </x:c>
      <x:c r="I268" s="35" t="str">
        <x:v>构件坠落；玻璃破裂；高处坠落</x:v>
      </x:c>
      <x:c r="J268" s="41" t="str">
        <x:v>重大</x:v>
      </x:c>
      <x:c r="K268" s="35" t="str">
        <x:v>幕墙设计人员；技术负责人；施工员；质量员；安全员</x:v>
      </x:c>
      <x:c r="L268" s="35" t="str">
        <x:v>现场目视+尺寸/仪器测量</x:v>
      </x:c>
      <x:c r="M268" s="35" t="str">
        <x:v>建筑幕墙</x:v>
      </x:c>
      <x:c r="N268" s="35" t="str">
        <x:v>GB/T 21086-2007</x:v>
      </x:c>
      <x:c r="O268" s="35" t="str">
        <x:v>推荐性国家标准</x:v>
      </x:c>
      <x:c r="P268" s="35" t="str">
        <x:v>现行（国家标准公开平台截至2026-08-19）</x:v>
      </x:c>
      <x:c r="Q268" s="35" t="str">
        <x:v>5.1.7.1</x:v>
      </x:c>
      <x:c r="R268" s="35" t="str">
        <x:v>5.1.7.1 耐撞击性能应满足设计要求。人员流动密度大或青少年、幼儿活动的公共建筑的建筑幕墙, 耐撞击性能指标不应低于表22中2级</x:v>
      </x:c>
      <x:c r="S268" s="41" t="n">
        <x:v>12</x:v>
      </x:c>
      <x:c r="T268" s="44" t="n">
        <x:v>9</x:v>
      </x:c>
    </x:row>
    <x:row r="269" ht="56" customHeight="1">
      <x:c r="A269" s="40" t="str">
        <x:v>MQ-014</x:v>
      </x:c>
      <x:c r="B269" s="41" t="str">
        <x:v>启用</x:v>
      </x:c>
      <x:c r="C269" s="35" t="str">
        <x:v>建筑幕墙设计</x:v>
      </x:c>
      <x:c r="D269" s="35" t="str">
        <x:v>采光性能设计</x:v>
      </x:c>
      <x:c r="E269" s="35" t="str">
        <x:v>设计、选材、加工、安装或验收建筑幕墙时</x:v>
      </x:c>
      <x:c r="F269" s="35" t="str">
        <x:v>有采光功能要求的幕墙透光折减系数不应低于0.45</x:v>
      </x:c>
      <x:c r="G269" s="35" t="str">
        <x:v>0.45</x:v>
      </x:c>
      <x:c r="H269" s="41" t="str">
        <x:v>禁止/不得</x:v>
      </x:c>
      <x:c r="I269" s="35" t="str">
        <x:v>构件坠落；玻璃破裂；高处坠落</x:v>
      </x:c>
      <x:c r="J269" s="41" t="str">
        <x:v>重大</x:v>
      </x:c>
      <x:c r="K269" s="35" t="str">
        <x:v>幕墙设计人员；技术负责人；施工员；质量员；安全员</x:v>
      </x:c>
      <x:c r="L269" s="35" t="str">
        <x:v>现场目视+尺寸/仪器测量</x:v>
      </x:c>
      <x:c r="M269" s="35" t="str">
        <x:v>建筑幕墙</x:v>
      </x:c>
      <x:c r="N269" s="35" t="str">
        <x:v>GB/T 21086-2007</x:v>
      </x:c>
      <x:c r="O269" s="35" t="str">
        <x:v>推荐性国家标准</x:v>
      </x:c>
      <x:c r="P269" s="35" t="str">
        <x:v>现行（国家标准公开平台截至2026-08-19）</x:v>
      </x:c>
      <x:c r="Q269" s="35" t="str">
        <x:v>5.1.8.1</x:v>
      </x:c>
      <x:c r="R269" s="35" t="str">
        <x:v>5.1.8.1 有采光功能要求的幕墙,其透光折减系数不应低于0.45。有辨色要求的幕墙,其颜色透视指 数不宜低于 Ra80</x:v>
      </x:c>
      <x:c r="S269" s="41" t="n">
        <x:v>12</x:v>
      </x:c>
      <x:c r="T269" s="44" t="n">
        <x:v>9</x:v>
      </x:c>
    </x:row>
    <x:row r="270" ht="56" customHeight="1">
      <x:c r="A270" s="40" t="str">
        <x:v>MQ-015</x:v>
      </x:c>
      <x:c r="B270" s="41" t="str">
        <x:v>启用</x:v>
      </x:c>
      <x:c r="C270" s="35" t="str">
        <x:v>建筑幕墙设计</x:v>
      </x:c>
      <x:c r="D270" s="35" t="str">
        <x:v>采光性能设计</x:v>
      </x:c>
      <x:c r="E270" s="35" t="str">
        <x:v>设计、选材、加工、安装或验收建筑幕墙时</x:v>
      </x:c>
      <x:c r="F270" s="35" t="str">
        <x:v>有辨色要求的幕墙颜色透视指数不宜低于Ra80</x:v>
      </x:c>
      <x:c r="G270" s="35" t="str">
        <x:v>Ra80</x:v>
      </x:c>
      <x:c r="H270" s="41" t="str">
        <x:v>推荐/允许</x:v>
      </x:c>
      <x:c r="I270" s="35" t="str">
        <x:v>构件坠落；玻璃破裂；高处坠落</x:v>
      </x:c>
      <x:c r="J270" s="41" t="str">
        <x:v>较大</x:v>
      </x:c>
      <x:c r="K270" s="35" t="str">
        <x:v>幕墙设计人员；技术负责人；施工员；质量员；安全员</x:v>
      </x:c>
      <x:c r="L270" s="35" t="str">
        <x:v>现场目视+尺寸/仪器测量</x:v>
      </x:c>
      <x:c r="M270" s="35" t="str">
        <x:v>建筑幕墙</x:v>
      </x:c>
      <x:c r="N270" s="35" t="str">
        <x:v>GB/T 21086-2007</x:v>
      </x:c>
      <x:c r="O270" s="35" t="str">
        <x:v>推荐性国家标准</x:v>
      </x:c>
      <x:c r="P270" s="35" t="str">
        <x:v>现行（国家标准公开平台截至2026-08-19）</x:v>
      </x:c>
      <x:c r="Q270" s="35" t="str">
        <x:v>5.1.8.1</x:v>
      </x:c>
      <x:c r="R270" s="35" t="str">
        <x:v>5.1.8.1 有采光功能要求的幕墙,其透光折减系数不应低于0.45。有辨色要求的幕墙,其颜色透视指 数不宜低于 Ra80</x:v>
      </x:c>
      <x:c r="S270" s="41" t="n">
        <x:v>12</x:v>
      </x:c>
      <x:c r="T270" s="44" t="n">
        <x:v>9</x:v>
      </x:c>
    </x:row>
    <x:row r="271" ht="56" customHeight="1">
      <x:c r="A271" s="40" t="str">
        <x:v>MQ-016</x:v>
      </x:c>
      <x:c r="B271" s="41" t="str">
        <x:v>启用</x:v>
      </x:c>
      <x:c r="C271" s="35" t="str">
        <x:v>建筑幕墙设计</x:v>
      </x:c>
      <x:c r="D271" s="35" t="str">
        <x:v>承重性能设计</x:v>
      </x:c>
      <x:c r="E271" s="35" t="str">
        <x:v>设计、选材、加工、安装或验收建筑幕墙时</x:v>
      </x:c>
      <x:c r="F271" s="35" t="str">
        <x:v>幕墙应能承受自重及设计规定的附件重量，并可靠传递至主体结构</x:v>
      </x:c>
      <x:c r="G271" s="35" t="str">
        <x:v>无明确数值；按文本要求判断</x:v>
      </x:c>
      <x:c r="H271" s="41" t="str">
        <x:v>应执行</x:v>
      </x:c>
      <x:c r="I271" s="35" t="str">
        <x:v>构件坠落；玻璃破裂；高处坠落</x:v>
      </x:c>
      <x:c r="J271" s="41" t="str">
        <x:v>较大</x:v>
      </x:c>
      <x:c r="K271" s="35" t="str">
        <x:v>幕墙设计人员；技术负责人；施工员；质量员；安全员</x:v>
      </x:c>
      <x:c r="L271" s="35" t="str">
        <x:v>文件核验</x:v>
      </x:c>
      <x:c r="M271" s="35" t="str">
        <x:v>建筑幕墙</x:v>
      </x:c>
      <x:c r="N271" s="35" t="str">
        <x:v>GB/T 21086-2007</x:v>
      </x:c>
      <x:c r="O271" s="35" t="str">
        <x:v>推荐性国家标准</x:v>
      </x:c>
      <x:c r="P271" s="35" t="str">
        <x:v>现行（国家标准公开平台截至2026-08-19）</x:v>
      </x:c>
      <x:c r="Q271" s="35" t="str">
        <x:v>5.1.9</x:v>
      </x:c>
      <x:c r="R271" s="35" t="str">
        <x:v>5.1.9 承重力性能 a) 幕墙应能承受自重和设计时规定的各种附件的重量,并能可靠地传递到主体结构。 b) 在自重标准值作用下,水平受力构件在单块面板两端跨距内的最大挠度不应超过该面板两端 跨距的1/500,且不应超过3mm</x:v>
      </x:c>
      <x:c r="S271" s="41" t="n">
        <x:v>12</x:v>
      </x:c>
      <x:c r="T271" s="44" t="n">
        <x:v>9</x:v>
      </x:c>
    </x:row>
    <x:row r="272" ht="56" customHeight="1">
      <x:c r="A272" s="40" t="str">
        <x:v>MQ-017</x:v>
      </x:c>
      <x:c r="B272" s="41" t="str">
        <x:v>启用</x:v>
      </x:c>
      <x:c r="C272" s="35" t="str">
        <x:v>建筑幕墙设计</x:v>
      </x:c>
      <x:c r="D272" s="35" t="str">
        <x:v>承重性能设计</x:v>
      </x:c>
      <x:c r="E272" s="35" t="str">
        <x:v>设计、选材、加工、安装或验收建筑幕墙时</x:v>
      </x:c>
      <x:c r="F272" s="35" t="str">
        <x:v>在自重标准值作用下，水平受力构件最大挠度不得超过面板两端跨距的1/500，且不得超过3mm</x:v>
      </x:c>
      <x:c r="G272" s="35" t="str">
        <x:v>3mm；1/500</x:v>
      </x:c>
      <x:c r="H272" s="41" t="str">
        <x:v>禁止/不得</x:v>
      </x:c>
      <x:c r="I272" s="35" t="str">
        <x:v>构件坠落；玻璃破裂；高处坠落</x:v>
      </x:c>
      <x:c r="J272" s="41" t="str">
        <x:v>重大</x:v>
      </x:c>
      <x:c r="K272" s="35" t="str">
        <x:v>幕墙设计人员；技术负责人；施工员；质量员；安全员</x:v>
      </x:c>
      <x:c r="L272" s="35" t="str">
        <x:v>文件核验+尺寸/仪器测量</x:v>
      </x:c>
      <x:c r="M272" s="35" t="str">
        <x:v>建筑幕墙</x:v>
      </x:c>
      <x:c r="N272" s="35" t="str">
        <x:v>GB/T 21086-2007</x:v>
      </x:c>
      <x:c r="O272" s="35" t="str">
        <x:v>推荐性国家标准</x:v>
      </x:c>
      <x:c r="P272" s="35" t="str">
        <x:v>现行（国家标准公开平台截至2026-08-19）</x:v>
      </x:c>
      <x:c r="Q272" s="35" t="str">
        <x:v>5.1.9</x:v>
      </x:c>
      <x:c r="R272" s="35" t="str">
        <x:v>5.1.9 承重力性能 a) 幕墙应能承受自重和设计时规定的各种附件的重量,并能可靠地传递到主体结构。 b) 在自重标准值作用下,水平受力构件在单块面板两端跨距内的最大挠度不应超过该面板两端 跨距的1/500,且不应超过3mm</x:v>
      </x:c>
      <x:c r="S272" s="41" t="n">
        <x:v>12</x:v>
      </x:c>
      <x:c r="T272" s="44" t="n">
        <x:v>9</x:v>
      </x:c>
    </x:row>
    <x:row r="273" ht="56" customHeight="1">
      <x:c r="A273" s="40" t="str">
        <x:v>MQ-018</x:v>
      </x:c>
      <x:c r="B273" s="41" t="str">
        <x:v>启用</x:v>
      </x:c>
      <x:c r="C273" s="35" t="str">
        <x:v>建筑幕墙设计</x:v>
      </x:c>
      <x:c r="D273" s="35" t="str">
        <x:v>设计使用年限</x:v>
      </x:c>
      <x:c r="E273" s="35" t="str">
        <x:v>设计、选材、加工、安装或验收建筑幕墙时</x:v>
      </x:c>
      <x:c r="F273" s="35" t="str">
        <x:v>建筑幕墙结构设计使用年限不宜低于25年</x:v>
      </x:c>
      <x:c r="G273" s="35" t="str">
        <x:v>25年</x:v>
      </x:c>
      <x:c r="H273" s="41" t="str">
        <x:v>推荐/允许</x:v>
      </x:c>
      <x:c r="I273" s="35" t="str">
        <x:v>构件坠落；玻璃破裂；高处坠落</x:v>
      </x:c>
      <x:c r="J273" s="41" t="str">
        <x:v>较大</x:v>
      </x:c>
      <x:c r="K273" s="35" t="str">
        <x:v>幕墙设计人员；技术负责人；施工员；质量员；安全员</x:v>
      </x:c>
      <x:c r="L273" s="35" t="str">
        <x:v>文件核验+尺寸/仪器测量</x:v>
      </x:c>
      <x:c r="M273" s="35" t="str">
        <x:v>建筑幕墙</x:v>
      </x:c>
      <x:c r="N273" s="35" t="str">
        <x:v>GB/T 21086-2007</x:v>
      </x:c>
      <x:c r="O273" s="35" t="str">
        <x:v>推荐性国家标准</x:v>
      </x:c>
      <x:c r="P273" s="35" t="str">
        <x:v>现行（国家标准公开平台截至2026-08-19）</x:v>
      </x:c>
      <x:c r="Q273" s="35" t="str">
        <x:v>5.2.1</x:v>
      </x:c>
      <x:c r="R273" s="35" t="str">
        <x:v>5.2.1 结构设计使用年限不宜低于25年</x:v>
      </x:c>
      <x:c r="S273" s="41" t="n">
        <x:v>12</x:v>
      </x:c>
      <x:c r="T273" s="44" t="n">
        <x:v>9</x:v>
      </x:c>
    </x:row>
    <x:row r="274" ht="56" customHeight="1">
      <x:c r="A274" s="40" t="str">
        <x:v>MQ-019</x:v>
      </x:c>
      <x:c r="B274" s="41" t="str">
        <x:v>启用</x:v>
      </x:c>
      <x:c r="C274" s="35" t="str">
        <x:v>建筑幕墙设计</x:v>
      </x:c>
      <x:c r="D274" s="35" t="str">
        <x:v>防火设计</x:v>
      </x:c>
      <x:c r="E274" s="35" t="str">
        <x:v>设计、选材、加工、安装或验收建筑幕墙时</x:v>
      </x:c>
      <x:c r="F274" s="35" t="str">
        <x:v>建筑幕墙防火功能应符合JGJ 102、JGJ 133的规定</x:v>
      </x:c>
      <x:c r="G274" s="35" t="str">
        <x:v>JGJ 102；JGJ 133</x:v>
      </x:c>
      <x:c r="H274" s="41" t="str">
        <x:v>应执行</x:v>
      </x:c>
      <x:c r="I274" s="35" t="str">
        <x:v>构件坠落；玻璃破裂；高处坠落</x:v>
      </x:c>
      <x:c r="J274" s="41" t="str">
        <x:v>较大</x:v>
      </x:c>
      <x:c r="K274" s="35" t="str">
        <x:v>幕墙设计人员；技术负责人；施工员；质量员；安全员</x:v>
      </x:c>
      <x:c r="L274" s="35" t="str">
        <x:v>现场目视+尺寸/仪器测量</x:v>
      </x:c>
      <x:c r="M274" s="35" t="str">
        <x:v>建筑幕墙</x:v>
      </x:c>
      <x:c r="N274" s="35" t="str">
        <x:v>GB/T 21086-2007</x:v>
      </x:c>
      <x:c r="O274" s="35" t="str">
        <x:v>推荐性国家标准</x:v>
      </x:c>
      <x:c r="P274" s="35" t="str">
        <x:v>现行（国家标准公开平台截至2026-08-19）</x:v>
      </x:c>
      <x:c r="Q274" s="35" t="str">
        <x:v>5.2.2</x:v>
      </x:c>
      <x:c r="R274" s="35" t="str">
        <x:v>5.2.2 建筑幕墙的防火、防雷功能应符合JGJ102、JGJ133的规定</x:v>
      </x:c>
      <x:c r="S274" s="41" t="n">
        <x:v>12</x:v>
      </x:c>
      <x:c r="T274" s="44" t="n">
        <x:v>9</x:v>
      </x:c>
    </x:row>
    <x:row r="275" ht="56" customHeight="1">
      <x:c r="A275" s="40" t="str">
        <x:v>MQ-020</x:v>
      </x:c>
      <x:c r="B275" s="41" t="str">
        <x:v>启用</x:v>
      </x:c>
      <x:c r="C275" s="35" t="str">
        <x:v>建筑幕墙设计</x:v>
      </x:c>
      <x:c r="D275" s="35" t="str">
        <x:v>防雷设计</x:v>
      </x:c>
      <x:c r="E275" s="35" t="str">
        <x:v>设计、选材、加工、安装或验收建筑幕墙时</x:v>
      </x:c>
      <x:c r="F275" s="35" t="str">
        <x:v>建筑幕墙防雷功能应符合JGJ 102、JGJ 133的规定</x:v>
      </x:c>
      <x:c r="G275" s="35" t="str">
        <x:v>JGJ 102；JGJ 133</x:v>
      </x:c>
      <x:c r="H275" s="41" t="str">
        <x:v>应执行</x:v>
      </x:c>
      <x:c r="I275" s="35" t="str">
        <x:v>构件坠落；玻璃破裂；高处坠落</x:v>
      </x:c>
      <x:c r="J275" s="41" t="str">
        <x:v>较大</x:v>
      </x:c>
      <x:c r="K275" s="35" t="str">
        <x:v>幕墙设计人员；技术负责人；施工员；质量员；安全员</x:v>
      </x:c>
      <x:c r="L275" s="35" t="str">
        <x:v>现场目视+尺寸/仪器测量</x:v>
      </x:c>
      <x:c r="M275" s="35" t="str">
        <x:v>建筑幕墙</x:v>
      </x:c>
      <x:c r="N275" s="35" t="str">
        <x:v>GB/T 21086-2007</x:v>
      </x:c>
      <x:c r="O275" s="35" t="str">
        <x:v>推荐性国家标准</x:v>
      </x:c>
      <x:c r="P275" s="35" t="str">
        <x:v>现行（国家标准公开平台截至2026-08-19）</x:v>
      </x:c>
      <x:c r="Q275" s="35" t="str">
        <x:v>5.2.2</x:v>
      </x:c>
      <x:c r="R275" s="35" t="str">
        <x:v>5.2.2 建筑幕墙的防火、防雷功能应符合JGJ102、JGJ133的规定</x:v>
      </x:c>
      <x:c r="S275" s="41" t="n">
        <x:v>12</x:v>
      </x:c>
      <x:c r="T275" s="44" t="n">
        <x:v>9</x:v>
      </x:c>
    </x:row>
    <x:row r="276" ht="56" customHeight="1">
      <x:c r="A276" s="40" t="str">
        <x:v>MQ-021</x:v>
      </x:c>
      <x:c r="B276" s="41" t="str">
        <x:v>启用</x:v>
      </x:c>
      <x:c r="C276" s="35" t="str">
        <x:v>建筑幕墙材料</x:v>
      </x:c>
      <x:c r="D276" s="35" t="str">
        <x:v>材料选用与进场验收</x:v>
      </x:c>
      <x:c r="E276" s="35" t="str">
        <x:v>设计、选材、加工、安装或验收建筑幕墙时</x:v>
      </x:c>
      <x:c r="F276" s="35" t="str">
        <x:v>幕墙所用材料应具有抗腐蚀能力</x:v>
      </x:c>
      <x:c r="G276" s="35" t="str">
        <x:v>无明确数值；按文本要求判断</x:v>
      </x:c>
      <x:c r="H276" s="41" t="str">
        <x:v>应执行</x:v>
      </x:c>
      <x:c r="I276" s="35" t="str">
        <x:v>构件坠落；玻璃破裂；高处坠落</x:v>
      </x:c>
      <x:c r="J276" s="41" t="str">
        <x:v>较大</x:v>
      </x:c>
      <x:c r="K276" s="35" t="str">
        <x:v>幕墙设计人员；技术负责人；施工员；质量员；安全员</x:v>
      </x:c>
      <x:c r="L276" s="35" t="str">
        <x:v>现场检查+人工确认</x:v>
      </x:c>
      <x:c r="M276" s="35" t="str">
        <x:v>建筑幕墙</x:v>
      </x:c>
      <x:c r="N276" s="35" t="str">
        <x:v>GB/T 21086-2007</x:v>
      </x:c>
      <x:c r="O276" s="35" t="str">
        <x:v>推荐性国家标准</x:v>
      </x:c>
      <x:c r="P276" s="35" t="str">
        <x:v>现行（国家标准公开平台截至2026-08-19）</x:v>
      </x:c>
      <x:c r="Q276" s="35" t="str">
        <x:v>5.3.1</x:v>
      </x:c>
      <x:c r="R276" s="35" t="str">
        <x:v>5.3.1 幕墙所用材料执行标准参见本标准附录 A,符合JGJ102,JGJ133和JGJ113的规定,具有抗腐 蚀能力,符合国家节约资源和环境保护要求。性能应满足设计要求</x:v>
      </x:c>
      <x:c r="S276" s="41" t="n">
        <x:v>12</x:v>
      </x:c>
      <x:c r="T276" s="44" t="n">
        <x:v>9</x:v>
      </x:c>
    </x:row>
    <x:row r="277" ht="56" customHeight="1">
      <x:c r="A277" s="40" t="str">
        <x:v>MQ-022</x:v>
      </x:c>
      <x:c r="B277" s="41" t="str">
        <x:v>启用</x:v>
      </x:c>
      <x:c r="C277" s="35" t="str">
        <x:v>建筑幕墙材料</x:v>
      </x:c>
      <x:c r="D277" s="35" t="str">
        <x:v>材料选用与进场验收</x:v>
      </x:c>
      <x:c r="E277" s="35" t="str">
        <x:v>设计、选材、加工、安装或验收建筑幕墙时</x:v>
      </x:c>
      <x:c r="F277" s="35" t="str">
        <x:v>幕墙所用材料性能应满足设计要求</x:v>
      </x:c>
      <x:c r="G277" s="35" t="str">
        <x:v>无明确数值；按文本要求判断</x:v>
      </x:c>
      <x:c r="H277" s="41" t="str">
        <x:v>应执行</x:v>
      </x:c>
      <x:c r="I277" s="35" t="str">
        <x:v>构件坠落；玻璃破裂；高处坠落</x:v>
      </x:c>
      <x:c r="J277" s="41" t="str">
        <x:v>较大</x:v>
      </x:c>
      <x:c r="K277" s="35" t="str">
        <x:v>幕墙设计人员；技术负责人；施工员；质量员；安全员</x:v>
      </x:c>
      <x:c r="L277" s="35" t="str">
        <x:v>文件核验</x:v>
      </x:c>
      <x:c r="M277" s="35" t="str">
        <x:v>建筑幕墙</x:v>
      </x:c>
      <x:c r="N277" s="35" t="str">
        <x:v>GB/T 21086-2007</x:v>
      </x:c>
      <x:c r="O277" s="35" t="str">
        <x:v>推荐性国家标准</x:v>
      </x:c>
      <x:c r="P277" s="35" t="str">
        <x:v>现行（国家标准公开平台截至2026-08-19）</x:v>
      </x:c>
      <x:c r="Q277" s="35" t="str">
        <x:v>5.3.1</x:v>
      </x:c>
      <x:c r="R277" s="35" t="str">
        <x:v>5.3.1 幕墙所用材料执行标准参见本标准附录 A,符合JGJ102,JGJ133和JGJ113的规定,具有抗腐 蚀能力,符合国家节约资源和环境保护要求。性能应满足设计要求</x:v>
      </x:c>
      <x:c r="S277" s="41" t="n">
        <x:v>12</x:v>
      </x:c>
      <x:c r="T277" s="44" t="n">
        <x:v>9</x:v>
      </x:c>
    </x:row>
    <x:row r="278" ht="56" customHeight="1">
      <x:c r="A278" s="40" t="str">
        <x:v>MQ-023</x:v>
      </x:c>
      <x:c r="B278" s="41" t="str">
        <x:v>启用</x:v>
      </x:c>
      <x:c r="C278" s="35" t="str">
        <x:v>建筑幕墙材料</x:v>
      </x:c>
      <x:c r="D278" s="35" t="str">
        <x:v>金属材料防腐</x:v>
      </x:c>
      <x:c r="E278" s="35" t="str">
        <x:v>设计、选材、加工、安装或验收建筑幕墙时</x:v>
      </x:c>
      <x:c r="F278" s="35" t="str">
        <x:v>钢材表面应具有抗腐蚀能力，并应采取措施避免双金属接触腐蚀</x:v>
      </x:c>
      <x:c r="G278" s="35" t="str">
        <x:v>无明确数值；按文本要求判断</x:v>
      </x:c>
      <x:c r="H278" s="41" t="str">
        <x:v>应执行</x:v>
      </x:c>
      <x:c r="I278" s="35" t="str">
        <x:v>构件坠落；玻璃破裂；高处坠落</x:v>
      </x:c>
      <x:c r="J278" s="41" t="str">
        <x:v>较大</x:v>
      </x:c>
      <x:c r="K278" s="35" t="str">
        <x:v>幕墙设计人员；技术负责人；施工员；质量员；安全员</x:v>
      </x:c>
      <x:c r="L278" s="35" t="str">
        <x:v>现场检查+人工确认</x:v>
      </x:c>
      <x:c r="M278" s="35" t="str">
        <x:v>建筑幕墙</x:v>
      </x:c>
      <x:c r="N278" s="35" t="str">
        <x:v>GB/T 21086-2007</x:v>
      </x:c>
      <x:c r="O278" s="35" t="str">
        <x:v>推荐性国家标准</x:v>
      </x:c>
      <x:c r="P278" s="35" t="str">
        <x:v>现行（国家标准公开平台截至2026-08-19）</x:v>
      </x:c>
      <x:c r="Q278" s="35" t="str">
        <x:v>5.3.2.2</x:v>
      </x:c>
      <x:c r="R278" s="35" t="str">
        <x:v>5.3.2.2 钢材 a) 幕墙构件与支承结构所选用的结构钢执行标准参见本标准附录 A,应符合其中 A.2所列标准 的规定。 b) 不锈钢材宜采用奥氏体不锈钢,执行标准参见本标准附录 A,应符合其中 A.2 所列标准的 规定。 c) 不锈钢复合钢管、板材执行标准参见本标准附录 A,应符合其中 GB/T8165的规定。 d) 钢材表面应具有抗腐蚀能力,并采取措施避免双金属的接触腐蚀</x:v>
      </x:c>
      <x:c r="S278" s="41" t="n">
        <x:v>13</x:v>
      </x:c>
      <x:c r="T278" s="44" t="n">
        <x:v>10</x:v>
      </x:c>
    </x:row>
    <x:row r="279" ht="56" customHeight="1">
      <x:c r="A279" s="40" t="str">
        <x:v>MQ-024</x:v>
      </x:c>
      <x:c r="B279" s="41" t="str">
        <x:v>启用</x:v>
      </x:c>
      <x:c r="C279" s="35" t="str">
        <x:v>建筑幕墙材料</x:v>
      </x:c>
      <x:c r="D279" s="35" t="str">
        <x:v>密封胶验收与施工</x:v>
      </x:c>
      <x:c r="E279" s="35" t="str">
        <x:v>设计、选材、加工、安装或验收建筑幕墙时</x:v>
      </x:c>
      <x:c r="F279" s="35" t="str">
        <x:v>玻璃幕墙用硅酮结构密封胶、接缝密封胶以及金属和石材用密封胶必须在有效期内使用</x:v>
      </x:c>
      <x:c r="G279" s="35" t="str">
        <x:v>无明确数值；按文本要求判断</x:v>
      </x:c>
      <x:c r="H279" s="41" t="str">
        <x:v>必须</x:v>
      </x:c>
      <x:c r="I279" s="35" t="str">
        <x:v>构件坠落；玻璃破裂；高处坠落</x:v>
      </x:c>
      <x:c r="J279" s="41" t="str">
        <x:v>重大</x:v>
      </x:c>
      <x:c r="K279" s="35" t="str">
        <x:v>幕墙设计人员；技术负责人；施工员；质量员；安全员</x:v>
      </x:c>
      <x:c r="L279" s="35" t="str">
        <x:v>现场检查+人工确认</x:v>
      </x:c>
      <x:c r="M279" s="35" t="str">
        <x:v>建筑幕墙</x:v>
      </x:c>
      <x:c r="N279" s="35" t="str">
        <x:v>GB/T 21086-2007</x:v>
      </x:c>
      <x:c r="O279" s="35" t="str">
        <x:v>推荐性国家标准</x:v>
      </x:c>
      <x:c r="P279" s="35" t="str">
        <x:v>现行（国家标准公开平台截至2026-08-19）</x:v>
      </x:c>
      <x:c r="Q279" s="35" t="str">
        <x:v>5.3.3.1</x:v>
      </x:c>
      <x:c r="R279"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79" s="41" t="n">
        <x:v>13</x:v>
      </x:c>
      <x:c r="T279" s="44" t="n">
        <x:v>10</x:v>
      </x:c>
    </x:row>
    <x:row r="280" ht="56" customHeight="1">
      <x:c r="A280" s="40" t="str">
        <x:v>MQ-025</x:v>
      </x:c>
      <x:c r="B280" s="41" t="str">
        <x:v>启用</x:v>
      </x:c>
      <x:c r="C280" s="35" t="str">
        <x:v>建筑幕墙材料</x:v>
      </x:c>
      <x:c r="D280" s="35" t="str">
        <x:v>密封胶验收与施工</x:v>
      </x:c>
      <x:c r="E280" s="35" t="str">
        <x:v>设计、选材、加工、安装或验收建筑幕墙时</x:v>
      </x:c>
      <x:c r="F280" s="35" t="str">
        <x:v>幕墙接缝密封胶位移能力级别应满足设计位移量要求，且不宜低于20级</x:v>
      </x:c>
      <x:c r="G280" s="35" t="str">
        <x:v>20级</x:v>
      </x:c>
      <x:c r="H280" s="41" t="str">
        <x:v>应执行</x:v>
      </x:c>
      <x:c r="I280" s="35" t="str">
        <x:v>构件坠落；玻璃破裂；高处坠落</x:v>
      </x:c>
      <x:c r="J280" s="41" t="str">
        <x:v>较大</x:v>
      </x:c>
      <x:c r="K280" s="35" t="str">
        <x:v>幕墙设计人员；技术负责人；施工员；质量员；安全员</x:v>
      </x:c>
      <x:c r="L280" s="35" t="str">
        <x:v>文件核验+尺寸/仪器测量</x:v>
      </x:c>
      <x:c r="M280" s="35" t="str">
        <x:v>建筑幕墙</x:v>
      </x:c>
      <x:c r="N280" s="35" t="str">
        <x:v>GB/T 21086-2007</x:v>
      </x:c>
      <x:c r="O280" s="35" t="str">
        <x:v>推荐性国家标准</x:v>
      </x:c>
      <x:c r="P280" s="35" t="str">
        <x:v>现行（国家标准公开平台截至2026-08-19）</x:v>
      </x:c>
      <x:c r="Q280" s="35" t="str">
        <x:v>5.3.3.1</x:v>
      </x:c>
      <x:c r="R280"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0" s="41" t="n">
        <x:v>13</x:v>
      </x:c>
      <x:c r="T280" s="44" t="n">
        <x:v>10</x:v>
      </x:c>
    </x:row>
    <x:row r="281" ht="56" customHeight="1">
      <x:c r="A281" s="40" t="str">
        <x:v>MQ-026</x:v>
      </x:c>
      <x:c r="B281" s="41" t="str">
        <x:v>启用</x:v>
      </x:c>
      <x:c r="C281" s="35" t="str">
        <x:v>建筑幕墙材料</x:v>
      </x:c>
      <x:c r="D281" s="35" t="str">
        <x:v>胶粘剂验收与施工</x:v>
      </x:c>
      <x:c r="E281" s="35" t="str">
        <x:v>设计、选材、加工、安装或验收建筑幕墙时</x:v>
      </x:c>
      <x:c r="F281" s="35" t="str">
        <x:v>干挂石材幕墙用环氧胶粘剂应符合相关材料标准</x:v>
      </x:c>
      <x:c r="G281" s="35" t="str">
        <x:v>无明确数值；按文本要求判断</x:v>
      </x:c>
      <x:c r="H281" s="41" t="str">
        <x:v>应执行</x:v>
      </x:c>
      <x:c r="I281" s="35" t="str">
        <x:v>构件坠落；玻璃破裂；高处坠落</x:v>
      </x:c>
      <x:c r="J281" s="41" t="str">
        <x:v>较大</x:v>
      </x:c>
      <x:c r="K281" s="35" t="str">
        <x:v>幕墙设计人员；技术负责人；施工员；质量员；安全员</x:v>
      </x:c>
      <x:c r="L281" s="35" t="str">
        <x:v>文件核验</x:v>
      </x:c>
      <x:c r="M281" s="35" t="str">
        <x:v>建筑幕墙</x:v>
      </x:c>
      <x:c r="N281" s="35" t="str">
        <x:v>GB/T 21086-2007</x:v>
      </x:c>
      <x:c r="O281" s="35" t="str">
        <x:v>推荐性国家标准</x:v>
      </x:c>
      <x:c r="P281" s="35" t="str">
        <x:v>现行（国家标准公开平台截至2026-08-19）</x:v>
      </x:c>
      <x:c r="Q281" s="35" t="str">
        <x:v>5.3.3.1</x:v>
      </x:c>
      <x:c r="R281"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1" s="41" t="n">
        <x:v>13</x:v>
      </x:c>
      <x:c r="T281" s="44" t="n">
        <x:v>10</x:v>
      </x:c>
    </x:row>
    <x:row r="282" ht="56" customHeight="1">
      <x:c r="A282" s="40" t="str">
        <x:v>MQ-027</x:v>
      </x:c>
      <x:c r="B282" s="41" t="str">
        <x:v>启用</x:v>
      </x:c>
      <x:c r="C282" s="35" t="str">
        <x:v>建筑幕墙材料</x:v>
      </x:c>
      <x:c r="D282" s="35" t="str">
        <x:v>密封胶验收与施工</x:v>
      </x:c>
      <x:c r="E282" s="35" t="str">
        <x:v>设计、选材、加工、安装或验收建筑幕墙时</x:v>
      </x:c>
      <x:c r="F282" s="35" t="str">
        <x:v>与多孔性面板接触或粘结的密封胶、密封剂应符合JC/T 883，且对面材污染程度满足设计要求</x:v>
      </x:c>
      <x:c r="G282" s="35" t="str">
        <x:v>JC/T 883</x:v>
      </x:c>
      <x:c r="H282" s="41" t="str">
        <x:v>应执行</x:v>
      </x:c>
      <x:c r="I282" s="35" t="str">
        <x:v>构件坠落；玻璃破裂；高处坠落</x:v>
      </x:c>
      <x:c r="J282" s="41" t="str">
        <x:v>较大</x:v>
      </x:c>
      <x:c r="K282" s="35" t="str">
        <x:v>幕墙设计人员；技术负责人；施工员；质量员；安全员</x:v>
      </x:c>
      <x:c r="L282" s="35" t="str">
        <x:v>文件核验+尺寸/仪器测量</x:v>
      </x:c>
      <x:c r="M282" s="35" t="str">
        <x:v>建筑幕墙</x:v>
      </x:c>
      <x:c r="N282" s="35" t="str">
        <x:v>GB/T 21086-2007</x:v>
      </x:c>
      <x:c r="O282" s="35" t="str">
        <x:v>推荐性国家标准</x:v>
      </x:c>
      <x:c r="P282" s="35" t="str">
        <x:v>现行（国家标准公开平台截至2026-08-19）</x:v>
      </x:c>
      <x:c r="Q282" s="35" t="str">
        <x:v>5.3.3.1</x:v>
      </x:c>
      <x:c r="R282"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2" s="41" t="n">
        <x:v>13</x:v>
      </x:c>
      <x:c r="T282" s="44" t="n">
        <x:v>10</x:v>
      </x:c>
    </x:row>
    <x:row r="283" ht="56" customHeight="1">
      <x:c r="A283" s="40" t="str">
        <x:v>MQ-028</x:v>
      </x:c>
      <x:c r="B283" s="41" t="str">
        <x:v>启用</x:v>
      </x:c>
      <x:c r="C283" s="35" t="str">
        <x:v>建筑幕墙材料</x:v>
      </x:c>
      <x:c r="D283" s="35" t="str">
        <x:v>中空玻璃密封</x:v>
      </x:c>
      <x:c r="E283" s="35" t="str">
        <x:v>设计、选材、加工、安装或验收建筑幕墙时</x:v>
      </x:c>
      <x:c r="F283" s="35" t="str">
        <x:v>中空玻璃用丁基密封胶和弹性密封胶应符合相关材料标准</x:v>
      </x:c>
      <x:c r="G283" s="35" t="str">
        <x:v>无明确数值；按文本要求判断</x:v>
      </x:c>
      <x:c r="H283" s="41" t="str">
        <x:v>应执行</x:v>
      </x:c>
      <x:c r="I283" s="35" t="str">
        <x:v>构件坠落；玻璃破裂；高处坠落</x:v>
      </x:c>
      <x:c r="J283" s="41" t="str">
        <x:v>重大</x:v>
      </x:c>
      <x:c r="K283" s="35" t="str">
        <x:v>幕墙设计人员；技术负责人；施工员；质量员；安全员</x:v>
      </x:c>
      <x:c r="L283" s="35" t="str">
        <x:v>文件核验</x:v>
      </x:c>
      <x:c r="M283" s="35" t="str">
        <x:v>建筑幕墙</x:v>
      </x:c>
      <x:c r="N283" s="35" t="str">
        <x:v>GB/T 21086-2007</x:v>
      </x:c>
      <x:c r="O283" s="35" t="str">
        <x:v>推荐性国家标准</x:v>
      </x:c>
      <x:c r="P283" s="35" t="str">
        <x:v>现行（国家标准公开平台截至2026-08-19）</x:v>
      </x:c>
      <x:c r="Q283" s="35" t="str">
        <x:v>5.3.3.1</x:v>
      </x:c>
      <x:c r="R283"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3" s="41" t="n">
        <x:v>13</x:v>
      </x:c>
      <x:c r="T283" s="44" t="n">
        <x:v>10</x:v>
      </x:c>
    </x:row>
    <x:row r="284" ht="56" customHeight="1">
      <x:c r="A284" s="40" t="str">
        <x:v>MQ-029</x:v>
      </x:c>
      <x:c r="B284" s="41" t="str">
        <x:v>启用</x:v>
      </x:c>
      <x:c r="C284" s="35" t="str">
        <x:v>建筑幕墙材料</x:v>
      </x:c>
      <x:c r="D284" s="35" t="str">
        <x:v>结构胶尺寸设计</x:v>
      </x:c>
      <x:c r="E284" s="35" t="str">
        <x:v>设计、选材、加工、安装或验收建筑幕墙时</x:v>
      </x:c>
      <x:c r="F284" s="35" t="str">
        <x:v>玻璃幕墙用硅酮结构密封胶宽度和厚度应通过计算确定</x:v>
      </x:c>
      <x:c r="G284" s="35" t="str">
        <x:v>无明确数值；按文本要求判断</x:v>
      </x:c>
      <x:c r="H284" s="41" t="str">
        <x:v>应执行</x:v>
      </x:c>
      <x:c r="I284" s="35" t="str">
        <x:v>构件坠落；玻璃破裂；高处坠落</x:v>
      </x:c>
      <x:c r="J284" s="41" t="str">
        <x:v>重大</x:v>
      </x:c>
      <x:c r="K284" s="35" t="str">
        <x:v>幕墙设计人员；技术负责人；施工员；质量员；安全员</x:v>
      </x:c>
      <x:c r="L284" s="35" t="str">
        <x:v>文件核验</x:v>
      </x:c>
      <x:c r="M284" s="35" t="str">
        <x:v>建筑幕墙</x:v>
      </x:c>
      <x:c r="N284" s="35" t="str">
        <x:v>GB/T 21086-2007</x:v>
      </x:c>
      <x:c r="O284" s="35" t="str">
        <x:v>推荐性国家标准</x:v>
      </x:c>
      <x:c r="P284" s="35" t="str">
        <x:v>现行（国家标准公开平台截至2026-08-19）</x:v>
      </x:c>
      <x:c r="Q284" s="35" t="str">
        <x:v>5.3.3.1</x:v>
      </x:c>
      <x:c r="R284"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4" s="41" t="n">
        <x:v>13</x:v>
      </x:c>
      <x:c r="T284" s="44" t="n">
        <x:v>10</x:v>
      </x:c>
    </x:row>
    <x:row r="285" ht="56" customHeight="1">
      <x:c r="A285" s="40" t="str">
        <x:v>MQ-030</x:v>
      </x:c>
      <x:c r="B285" s="41" t="str">
        <x:v>启用</x:v>
      </x:c>
      <x:c r="C285" s="35" t="str">
        <x:v>建筑幕墙材料</x:v>
      </x:c>
      <x:c r="D285" s="35" t="str">
        <x:v>结构胶尺寸设计</x:v>
      </x:c>
      <x:c r="E285" s="35" t="str">
        <x:v>设计、选材、加工、安装或验收建筑幕墙时</x:v>
      </x:c>
      <x:c r="F285" s="35" t="str">
        <x:v>玻璃幕墙用硅酮结构密封胶厚度不宜小于6mm且不宜大于12mm</x:v>
      </x:c>
      <x:c r="G285" s="35" t="str">
        <x:v>6mm；12mm</x:v>
      </x:c>
      <x:c r="H285" s="41" t="str">
        <x:v>推荐/允许</x:v>
      </x:c>
      <x:c r="I285" s="35" t="str">
        <x:v>构件坠落；玻璃破裂；高处坠落</x:v>
      </x:c>
      <x:c r="J285" s="41" t="str">
        <x:v>重大</x:v>
      </x:c>
      <x:c r="K285" s="35" t="str">
        <x:v>幕墙设计人员；技术负责人；施工员；质量员；安全员</x:v>
      </x:c>
      <x:c r="L285" s="35" t="str">
        <x:v>现场目视+尺寸/仪器测量</x:v>
      </x:c>
      <x:c r="M285" s="35" t="str">
        <x:v>建筑幕墙</x:v>
      </x:c>
      <x:c r="N285" s="35" t="str">
        <x:v>GB/T 21086-2007</x:v>
      </x:c>
      <x:c r="O285" s="35" t="str">
        <x:v>推荐性国家标准</x:v>
      </x:c>
      <x:c r="P285" s="35" t="str">
        <x:v>现行（国家标准公开平台截至2026-08-19）</x:v>
      </x:c>
      <x:c r="Q285" s="35" t="str">
        <x:v>5.3.3.1</x:v>
      </x:c>
      <x:c r="R285"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5" s="41" t="n">
        <x:v>13</x:v>
      </x:c>
      <x:c r="T285" s="44" t="n">
        <x:v>10</x:v>
      </x:c>
    </x:row>
    <x:row r="286" ht="56" customHeight="1">
      <x:c r="A286" s="40" t="str">
        <x:v>MQ-031</x:v>
      </x:c>
      <x:c r="B286" s="41" t="str">
        <x:v>启用</x:v>
      </x:c>
      <x:c r="C286" s="35" t="str">
        <x:v>建筑幕墙材料</x:v>
      </x:c>
      <x:c r="D286" s="35" t="str">
        <x:v>结构胶尺寸设计</x:v>
      </x:c>
      <x:c r="E286" s="35" t="str">
        <x:v>设计、选材、加工、安装或验收建筑幕墙时</x:v>
      </x:c>
      <x:c r="F286" s="35" t="str">
        <x:v>玻璃幕墙用硅酮结构密封胶宽度不宜小于7mm，且不应大于胶厚度的2倍</x:v>
      </x:c>
      <x:c r="G286" s="35" t="str">
        <x:v>7mm；2倍</x:v>
      </x:c>
      <x:c r="H286" s="41" t="str">
        <x:v>禁止/不得</x:v>
      </x:c>
      <x:c r="I286" s="35" t="str">
        <x:v>构件坠落；玻璃破裂；高处坠落</x:v>
      </x:c>
      <x:c r="J286" s="41" t="str">
        <x:v>重大</x:v>
      </x:c>
      <x:c r="K286" s="35" t="str">
        <x:v>幕墙设计人员；技术负责人；施工员；质量员；安全员</x:v>
      </x:c>
      <x:c r="L286" s="35" t="str">
        <x:v>现场目视+尺寸/仪器测量</x:v>
      </x:c>
      <x:c r="M286" s="35" t="str">
        <x:v>建筑幕墙</x:v>
      </x:c>
      <x:c r="N286" s="35" t="str">
        <x:v>GB/T 21086-2007</x:v>
      </x:c>
      <x:c r="O286" s="35" t="str">
        <x:v>推荐性国家标准</x:v>
      </x:c>
      <x:c r="P286" s="35" t="str">
        <x:v>现行（国家标准公开平台截至2026-08-19）</x:v>
      </x:c>
      <x:c r="Q286" s="35" t="str">
        <x:v>5.3.3.1</x:v>
      </x:c>
      <x:c r="R286"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6" s="41" t="n">
        <x:v>13</x:v>
      </x:c>
      <x:c r="T286" s="44" t="n">
        <x:v>10</x:v>
      </x:c>
    </x:row>
    <x:row r="287" ht="56" customHeight="1">
      <x:c r="A287" s="40" t="str">
        <x:v>MQ-032</x:v>
      </x:c>
      <x:c r="B287" s="41" t="str">
        <x:v>启用</x:v>
      </x:c>
      <x:c r="C287" s="35" t="str">
        <x:v>建筑幕墙材料</x:v>
      </x:c>
      <x:c r="D287" s="35" t="str">
        <x:v>密封胶相容性检验</x:v>
      </x:c>
      <x:c r="E287" s="35" t="str">
        <x:v>设计、选材、加工、安装或验收建筑幕墙时</x:v>
      </x:c>
      <x:c r="F287" s="35" t="str">
        <x:v>硅酮结构密封胶和密封胶所粘接的幕墙基材、饰面板、附件等应具有相容性，随批单元件切割粘结性应合格</x:v>
      </x:c>
      <x:c r="G287" s="35" t="str">
        <x:v>无明确数值；按文本要求判断</x:v>
      </x:c>
      <x:c r="H287" s="41" t="str">
        <x:v>应执行</x:v>
      </x:c>
      <x:c r="I287" s="35" t="str">
        <x:v>构件坠落；玻璃破裂；高处坠落</x:v>
      </x:c>
      <x:c r="J287" s="41" t="str">
        <x:v>较大</x:v>
      </x:c>
      <x:c r="K287" s="35" t="str">
        <x:v>幕墙设计人员；技术负责人；施工员；质量员；安全员</x:v>
      </x:c>
      <x:c r="L287" s="35" t="str">
        <x:v>现场检查+人工确认</x:v>
      </x:c>
      <x:c r="M287" s="35" t="str">
        <x:v>建筑幕墙</x:v>
      </x:c>
      <x:c r="N287" s="35" t="str">
        <x:v>GB/T 21086-2007</x:v>
      </x:c>
      <x:c r="O287" s="35" t="str">
        <x:v>推荐性国家标准</x:v>
      </x:c>
      <x:c r="P287" s="35" t="str">
        <x:v>现行（国家标准公开平台截至2026-08-19）</x:v>
      </x:c>
      <x:c r="Q287" s="35" t="str">
        <x:v>5.3.3.1</x:v>
      </x:c>
      <x:c r="R287" s="35" t="str">
        <x:v>5.3.3.1 胶 a) 玻璃幕墙用硅酮结构密封胶、硅酮接缝密封胶及金属、石材用密封胶必须在有效期内使用。 b) 幕墙接缝密封胶执行标准参见本标准附录 A,应符合其中 A.3所列标准的规定,位移能力级 别应符合设计位移量的要求,不宜小于20级。 c) 干挂石材幕墙用环氧胶粘剂执行标准参见本标准附录 A,应符合其中 A.3的相关标准的 规定。 d) 所有与多孔性材料面板接触、粘结的密封胶、密封剂执行标准参见本标准附录 A,应符合其中 JC/T883的规定,对面材的污染程度应符合设计的要求。 e) 中空玻璃用丁基密封胶和中空玻璃弹性密封胶执行标准参见本标准附录 A,应符合其中 A.3 所列标准的规定。 f) 玻璃幕墙用硅酮结构密封胶的宽度、厚度尺寸应通过计算确定,结构胶厚度不宜小于6mm 且 不宜大于12mm,其宽度不宜小于7mm 且不大于厚度的2倍。 g) 硅酮结构密封胶、硅酮密封胶同相粘接的幕墙基材、饰面板、附件和其他材料应具有相容性, 随批单元件切割粘结性达到合格要求</x:v>
      </x:c>
      <x:c r="S287" s="41" t="n">
        <x:v>13</x:v>
      </x:c>
      <x:c r="T287" s="44" t="n">
        <x:v>10</x:v>
      </x:c>
    </x:row>
    <x:row r="288" ht="56" customHeight="1">
      <x:c r="A288" s="40" t="str">
        <x:v>MQ-033</x:v>
      </x:c>
      <x:c r="B288" s="41" t="str">
        <x:v>启用</x:v>
      </x:c>
      <x:c r="C288" s="35" t="str">
        <x:v>建筑幕墙材料</x:v>
      </x:c>
      <x:c r="D288" s="35" t="str">
        <x:v>五金配件验收</x:v>
      </x:c>
      <x:c r="E288" s="35" t="str">
        <x:v>设计、选材、加工、安装或验收建筑幕墙时</x:v>
      </x:c>
      <x:c r="F288" s="35" t="str">
        <x:v>幕墙专用五金配件应符合相关标准要求</x:v>
      </x:c>
      <x:c r="G288" s="35" t="str">
        <x:v>无明确数值；按文本要求判断</x:v>
      </x:c>
      <x:c r="H288" s="41" t="str">
        <x:v>应执行</x:v>
      </x:c>
      <x:c r="I288" s="35" t="str">
        <x:v>构件坠落；玻璃破裂；高处坠落</x:v>
      </x:c>
      <x:c r="J288" s="41" t="str">
        <x:v>较大</x:v>
      </x:c>
      <x:c r="K288" s="35" t="str">
        <x:v>幕墙设计人员；技术负责人；施工员；质量员；安全员</x:v>
      </x:c>
      <x:c r="L288" s="35" t="str">
        <x:v>文件核验</x:v>
      </x:c>
      <x:c r="M288" s="35" t="str">
        <x:v>建筑幕墙</x:v>
      </x:c>
      <x:c r="N288" s="35" t="str">
        <x:v>GB/T 21086-2007</x:v>
      </x:c>
      <x:c r="O288" s="35" t="str">
        <x:v>推荐性国家标准</x:v>
      </x:c>
      <x:c r="P288" s="35" t="str">
        <x:v>现行（国家标准公开平台截至2026-08-19）</x:v>
      </x:c>
      <x:c r="Q288" s="35" t="str">
        <x:v>5.3.4</x:v>
      </x:c>
      <x:c r="R288" s="35" t="str">
        <x:v>5.3.4 五金配件 幕墙专用五金配件应符合相关标准的要求,主要五金配件的使用寿命应满足设计要求</x:v>
      </x:c>
      <x:c r="S288" s="41" t="n">
        <x:v>13</x:v>
      </x:c>
      <x:c r="T288" s="44" t="n">
        <x:v>10</x:v>
      </x:c>
    </x:row>
    <x:row r="289" ht="56" customHeight="1">
      <x:c r="A289" s="40" t="str">
        <x:v>MQ-034</x:v>
      </x:c>
      <x:c r="B289" s="41" t="str">
        <x:v>启用</x:v>
      </x:c>
      <x:c r="C289" s="35" t="str">
        <x:v>建筑幕墙材料</x:v>
      </x:c>
      <x:c r="D289" s="35" t="str">
        <x:v>五金配件验收</x:v>
      </x:c>
      <x:c r="E289" s="35" t="str">
        <x:v>设计、选材、加工、安装或验收建筑幕墙时</x:v>
      </x:c>
      <x:c r="F289" s="35" t="str">
        <x:v>幕墙主要五金配件使用寿命应满足设计要求</x:v>
      </x:c>
      <x:c r="G289" s="35" t="str">
        <x:v>无明确数值；按文本要求判断</x:v>
      </x:c>
      <x:c r="H289" s="41" t="str">
        <x:v>应执行</x:v>
      </x:c>
      <x:c r="I289" s="35" t="str">
        <x:v>构件坠落；玻璃破裂；高处坠落</x:v>
      </x:c>
      <x:c r="J289" s="41" t="str">
        <x:v>较大</x:v>
      </x:c>
      <x:c r="K289" s="35" t="str">
        <x:v>幕墙设计人员；技术负责人；施工员；质量员；安全员</x:v>
      </x:c>
      <x:c r="L289" s="35" t="str">
        <x:v>文件核验</x:v>
      </x:c>
      <x:c r="M289" s="35" t="str">
        <x:v>建筑幕墙</x:v>
      </x:c>
      <x:c r="N289" s="35" t="str">
        <x:v>GB/T 21086-2007</x:v>
      </x:c>
      <x:c r="O289" s="35" t="str">
        <x:v>推荐性国家标准</x:v>
      </x:c>
      <x:c r="P289" s="35" t="str">
        <x:v>现行（国家标准公开平台截至2026-08-19）</x:v>
      </x:c>
      <x:c r="Q289" s="35" t="str">
        <x:v>5.3.4</x:v>
      </x:c>
      <x:c r="R289" s="35" t="str">
        <x:v>5.3.4 五金配件 幕墙专用五金配件应符合相关标准的要求,主要五金配件的使用寿命应满足设计要求</x:v>
      </x:c>
      <x:c r="S289" s="41" t="n">
        <x:v>13</x:v>
      </x:c>
      <x:c r="T289" s="44" t="n">
        <x:v>10</x:v>
      </x:c>
    </x:row>
    <x:row r="290" ht="56" customHeight="1">
      <x:c r="A290" s="40" t="str">
        <x:v>MQ-035</x:v>
      </x:c>
      <x:c r="B290" s="41" t="str">
        <x:v>启用</x:v>
      </x:c>
      <x:c r="C290" s="35" t="str">
        <x:v>建筑幕墙材料</x:v>
      </x:c>
      <x:c r="D290" s="35" t="str">
        <x:v>紧固件设计与验收</x:v>
      </x:c>
      <x:c r="E290" s="35" t="str">
        <x:v>设计、选材、加工、安装或验收建筑幕墙时</x:v>
      </x:c>
      <x:c r="F290" s="35" t="str">
        <x:v>紧固件规格和尺寸应经设计计算确定，并具有足够承载力和可靠性</x:v>
      </x:c>
      <x:c r="G290" s="35" t="str">
        <x:v>无明确数值；按文本要求判断</x:v>
      </x:c>
      <x:c r="H290" s="41" t="str">
        <x:v>应执行</x:v>
      </x:c>
      <x:c r="I290" s="35" t="str">
        <x:v>构件坠落；玻璃破裂；高处坠落</x:v>
      </x:c>
      <x:c r="J290" s="41" t="str">
        <x:v>重大</x:v>
      </x:c>
      <x:c r="K290" s="35" t="str">
        <x:v>幕墙设计人员；技术负责人；施工员；质量员；安全员</x:v>
      </x:c>
      <x:c r="L290" s="35" t="str">
        <x:v>文件核验</x:v>
      </x:c>
      <x:c r="M290" s="35" t="str">
        <x:v>建筑幕墙</x:v>
      </x:c>
      <x:c r="N290" s="35" t="str">
        <x:v>GB/T 21086-2007</x:v>
      </x:c>
      <x:c r="O290" s="35" t="str">
        <x:v>推荐性国家标准</x:v>
      </x:c>
      <x:c r="P290" s="35" t="str">
        <x:v>现行（国家标准公开平台截至2026-08-19）</x:v>
      </x:c>
      <x:c r="Q290" s="35" t="str">
        <x:v>5.3.5.1</x:v>
      </x:c>
      <x:c r="R290" s="35" t="str">
        <x:v>5.3.5.1 紧固件 紧固件规格和尺寸应根据设计计算确定,应有足够的承载力和可靠性。 10</x:v>
      </x:c>
      <x:c r="S290" s="41" t="n">
        <x:v>13</x:v>
      </x:c>
      <x:c r="T290" s="44" t="n">
        <x:v>10</x:v>
      </x:c>
    </x:row>
    <x:row r="291" ht="56" customHeight="1">
      <x:c r="A291" s="40" t="str">
        <x:v>MQ-036</x:v>
      </x:c>
      <x:c r="B291" s="41" t="str">
        <x:v>启用</x:v>
      </x:c>
      <x:c r="C291" s="35" t="str">
        <x:v>建筑幕墙材料</x:v>
      </x:c>
      <x:c r="D291" s="35" t="str">
        <x:v>转接件设计与验收</x:v>
      </x:c>
      <x:c r="E291" s="35" t="str">
        <x:v>设计、选材、加工、安装或验收建筑幕墙时</x:v>
      </x:c>
      <x:c r="F291" s="35" t="str">
        <x:v>幕墙转接件及其材料应满足设计要求，并具有足够承载力和可靠性</x:v>
      </x:c>
      <x:c r="G291" s="35" t="str">
        <x:v>无明确数值；按文本要求判断</x:v>
      </x:c>
      <x:c r="H291" s="41" t="str">
        <x:v>应执行</x:v>
      </x:c>
      <x:c r="I291" s="35" t="str">
        <x:v>构件坠落；玻璃破裂；高处坠落</x:v>
      </x:c>
      <x:c r="J291" s="41" t="str">
        <x:v>重大</x:v>
      </x:c>
      <x:c r="K291" s="35" t="str">
        <x:v>幕墙设计人员；技术负责人；施工员；质量员；安全员</x:v>
      </x:c>
      <x:c r="L291" s="35" t="str">
        <x:v>文件核验</x:v>
      </x:c>
      <x:c r="M291" s="35" t="str">
        <x:v>建筑幕墙</x:v>
      </x:c>
      <x:c r="N291" s="35" t="str">
        <x:v>GB/T 21086-2007</x:v>
      </x:c>
      <x:c r="O291" s="35" t="str">
        <x:v>推荐性国家标准</x:v>
      </x:c>
      <x:c r="P291" s="35" t="str">
        <x:v>现行（国家标准公开平台截至2026-08-19）</x:v>
      </x:c>
      <x:c r="Q291" s="35" t="str">
        <x:v>5.3.5.2</x:v>
      </x:c>
      <x:c r="R291" s="35" t="str">
        <x:v>5.3.5.2 转接件 a) 幕墙采用的转接件及其材料应满足设计要求,应具有足够的承载力和可靠性。 b) 宜具有三维位置可调能力</x:v>
      </x:c>
      <x:c r="S291" s="41" t="n">
        <x:v>14</x:v>
      </x:c>
      <x:c r="T291" s="44" t="n">
        <x:v>11</x:v>
      </x:c>
    </x:row>
    <x:row r="292" ht="56" customHeight="1">
      <x:c r="A292" s="40" t="str">
        <x:v>MQ-037</x:v>
      </x:c>
      <x:c r="B292" s="41" t="str">
        <x:v>启用</x:v>
      </x:c>
      <x:c r="C292" s="35" t="str">
        <x:v>建筑幕墙材料</x:v>
      </x:c>
      <x:c r="D292" s="35" t="str">
        <x:v>金属挂装件验收</x:v>
      </x:c>
      <x:c r="E292" s="35" t="str">
        <x:v>设计、选材、加工、安装或验收建筑幕墙时</x:v>
      </x:c>
      <x:c r="F292" s="35" t="str">
        <x:v>背栓和蝶形背卡的材料型号、尺寸及机械性能应满足设计要求</x:v>
      </x:c>
      <x:c r="G292" s="35" t="str">
        <x:v>无明确数值；按文本要求判断</x:v>
      </x:c>
      <x:c r="H292" s="41" t="str">
        <x:v>应执行</x:v>
      </x:c>
      <x:c r="I292" s="35" t="str">
        <x:v>构件坠落；玻璃破裂；高处坠落</x:v>
      </x:c>
      <x:c r="J292" s="41" t="str">
        <x:v>较大</x:v>
      </x:c>
      <x:c r="K292" s="35" t="str">
        <x:v>幕墙设计人员；技术负责人；施工员；质量员；安全员</x:v>
      </x:c>
      <x:c r="L292" s="35" t="str">
        <x:v>文件核验</x:v>
      </x:c>
      <x:c r="M292" s="35" t="str">
        <x:v>建筑幕墙</x:v>
      </x:c>
      <x:c r="N292" s="35" t="str">
        <x:v>GB/T 21086-2007</x:v>
      </x:c>
      <x:c r="O292" s="35" t="str">
        <x:v>推荐性国家标准</x:v>
      </x:c>
      <x:c r="P292" s="35" t="str">
        <x:v>现行（国家标准公开平台截至2026-08-19）</x:v>
      </x:c>
      <x:c r="Q292" s="35" t="str">
        <x:v>5.3.5.3</x:v>
      </x:c>
      <x:c r="R292" s="35" t="str">
        <x:v>5.3.5.3 金属挂装件 a) 石材连接用挂件执行标准参见本标准附录 A,应符合其中JC830.2的规定。 b) 背栓、蝶形背卡应符合相关标准的要求,材料型号、尺寸、机械性能应满足设计要求。背栓材 料的耐火性、耐腐蚀性、耐久性应不低于后部支承结构所用材料的相应标准,应采用不低于 316的不锈钢制作</x:v>
      </x:c>
      <x:c r="S292" s="41" t="n">
        <x:v>14</x:v>
      </x:c>
      <x:c r="T292" s="44" t="n">
        <x:v>11</x:v>
      </x:c>
    </x:row>
    <x:row r="293" ht="56" customHeight="1">
      <x:c r="A293" s="40" t="str">
        <x:v>MQ-038</x:v>
      </x:c>
      <x:c r="B293" s="41" t="str">
        <x:v>启用</x:v>
      </x:c>
      <x:c r="C293" s="35" t="str">
        <x:v>建筑幕墙材料</x:v>
      </x:c>
      <x:c r="D293" s="35" t="str">
        <x:v>金属挂装件验收</x:v>
      </x:c>
      <x:c r="E293" s="35" t="str">
        <x:v>设计、选材、加工、安装或验收建筑幕墙时</x:v>
      </x:c>
      <x:c r="F293" s="35" t="str">
        <x:v>背栓材料的耐火、耐腐蚀和耐久性能不得低于后部支承结构材料，并应采用不低于316的不锈钢</x:v>
      </x:c>
      <x:c r="G293" s="35" t="str">
        <x:v>316</x:v>
      </x:c>
      <x:c r="H293" s="41" t="str">
        <x:v>禁止/不得</x:v>
      </x:c>
      <x:c r="I293" s="35" t="str">
        <x:v>构件坠落；玻璃破裂；高处坠落</x:v>
      </x:c>
      <x:c r="J293" s="41" t="str">
        <x:v>重大</x:v>
      </x:c>
      <x:c r="K293" s="35" t="str">
        <x:v>幕墙设计人员；技术负责人；施工员；质量员；安全员</x:v>
      </x:c>
      <x:c r="L293" s="35" t="str">
        <x:v>现场目视+尺寸/仪器测量</x:v>
      </x:c>
      <x:c r="M293" s="35" t="str">
        <x:v>建筑幕墙</x:v>
      </x:c>
      <x:c r="N293" s="35" t="str">
        <x:v>GB/T 21086-2007</x:v>
      </x:c>
      <x:c r="O293" s="35" t="str">
        <x:v>推荐性国家标准</x:v>
      </x:c>
      <x:c r="P293" s="35" t="str">
        <x:v>现行（国家标准公开平台截至2026-08-19）</x:v>
      </x:c>
      <x:c r="Q293" s="35" t="str">
        <x:v>5.3.5.3</x:v>
      </x:c>
      <x:c r="R293" s="35" t="str">
        <x:v>5.3.5.3 金属挂装件 a) 石材连接用挂件执行标准参见本标准附录 A,应符合其中JC830.2的规定。 b) 背栓、蝶形背卡应符合相关标准的要求,材料型号、尺寸、机械性能应满足设计要求。背栓材 料的耐火性、耐腐蚀性、耐久性应不低于后部支承结构所用材料的相应标准,应采用不低于 316的不锈钢制作</x:v>
      </x:c>
      <x:c r="S293" s="41" t="n">
        <x:v>14</x:v>
      </x:c>
      <x:c r="T293" s="44" t="n">
        <x:v>11</x:v>
      </x:c>
    </x:row>
    <x:row r="294" ht="56" customHeight="1">
      <x:c r="A294" s="40" t="str">
        <x:v>MQ-039</x:v>
      </x:c>
      <x:c r="B294" s="41" t="str">
        <x:v>启用</x:v>
      </x:c>
      <x:c r="C294" s="35" t="str">
        <x:v>玻璃幕墙</x:v>
      </x:c>
      <x:c r="D294" s="35" t="str">
        <x:v>玻璃面板选型</x:v>
      </x:c>
      <x:c r="E294" s="35" t="str">
        <x:v>设计、选材、加工、安装或验收建筑幕墙时</x:v>
      </x:c>
      <x:c r="F294" s="35" t="str">
        <x:v>幕墙玻璃宜采用符合相关标准的安全玻璃</x:v>
      </x:c>
      <x:c r="G294" s="35" t="str">
        <x:v>无明确数值；按文本要求判断</x:v>
      </x:c>
      <x:c r="H294" s="41" t="str">
        <x:v>推荐/允许</x:v>
      </x:c>
      <x:c r="I294" s="35" t="str">
        <x:v>构件坠落；玻璃破裂；高处坠落</x:v>
      </x:c>
      <x:c r="J294" s="41" t="str">
        <x:v>重大</x:v>
      </x:c>
      <x:c r="K294" s="35" t="str">
        <x:v>幕墙设计人员；技术负责人；施工员；质量员；安全员</x:v>
      </x:c>
      <x:c r="L294" s="35" t="str">
        <x:v>文件核验</x:v>
      </x:c>
      <x:c r="M294" s="35" t="str">
        <x:v>建筑幕墙</x:v>
      </x:c>
      <x:c r="N294" s="35" t="str">
        <x:v>GB/T 21086-2007</x:v>
      </x:c>
      <x:c r="O294" s="35" t="str">
        <x:v>推荐性国家标准</x:v>
      </x:c>
      <x:c r="P294" s="35" t="str">
        <x:v>现行（国家标准公开平台截至2026-08-19）</x:v>
      </x:c>
      <x:c r="Q294" s="35" t="str">
        <x:v>6.2.1</x:v>
      </x:c>
      <x:c r="R294"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294" s="41" t="n">
        <x:v>14</x:v>
      </x:c>
      <x:c r="T294" s="44" t="n">
        <x:v>11</x:v>
      </x:c>
    </x:row>
    <x:row r="295" ht="56" customHeight="1">
      <x:c r="A295" s="40" t="str">
        <x:v>MQ-040</x:v>
      </x:c>
      <x:c r="B295" s="41" t="str">
        <x:v>启用</x:v>
      </x:c>
      <x:c r="C295" s="35" t="str">
        <x:v>玻璃幕墙</x:v>
      </x:c>
      <x:c r="D295" s="35" t="str">
        <x:v>玻璃面板选型</x:v>
      </x:c>
      <x:c r="E295" s="35" t="str">
        <x:v>设计、选材、加工、安装或验收建筑幕墙时</x:v>
      </x:c>
      <x:c r="F295" s="35" t="str">
        <x:v>幕墙玻璃公称厚度应经强度和刚度验算后确定</x:v>
      </x:c>
      <x:c r="G295" s="35" t="str">
        <x:v>无明确数值；按文本要求判断</x:v>
      </x:c>
      <x:c r="H295" s="41" t="str">
        <x:v>应执行</x:v>
      </x:c>
      <x:c r="I295" s="35" t="str">
        <x:v>构件坠落；玻璃破裂；高处坠落</x:v>
      </x:c>
      <x:c r="J295" s="41" t="str">
        <x:v>重大</x:v>
      </x:c>
      <x:c r="K295" s="35" t="str">
        <x:v>幕墙设计人员；技术负责人；施工员；质量员；安全员</x:v>
      </x:c>
      <x:c r="L295" s="35" t="str">
        <x:v>文件核验</x:v>
      </x:c>
      <x:c r="M295" s="35" t="str">
        <x:v>建筑幕墙</x:v>
      </x:c>
      <x:c r="N295" s="35" t="str">
        <x:v>GB/T 21086-2007</x:v>
      </x:c>
      <x:c r="O295" s="35" t="str">
        <x:v>推荐性国家标准</x:v>
      </x:c>
      <x:c r="P295" s="35" t="str">
        <x:v>现行（国家标准公开平台截至2026-08-19）</x:v>
      </x:c>
      <x:c r="Q295" s="35" t="str">
        <x:v>6.2.1</x:v>
      </x:c>
      <x:c r="R295"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295" s="41" t="n">
        <x:v>14</x:v>
      </x:c>
      <x:c r="T295" s="44" t="n">
        <x:v>11</x:v>
      </x:c>
    </x:row>
    <x:row r="296" ht="56" customHeight="1">
      <x:c r="A296" s="40" t="str">
        <x:v>MQ-041</x:v>
      </x:c>
      <x:c r="B296" s="41" t="str">
        <x:v>启用</x:v>
      </x:c>
      <x:c r="C296" s="35" t="str">
        <x:v>玻璃幕墙</x:v>
      </x:c>
      <x:c r="D296" s="35" t="str">
        <x:v>玻璃面板选型</x:v>
      </x:c>
      <x:c r="E296" s="35" t="str">
        <x:v>设计、选材、加工、安装或验收建筑幕墙时</x:v>
      </x:c>
      <x:c r="F296" s="35" t="str">
        <x:v>单片玻璃及中空玻璃任一片玻璃厚度不宜小于6mm</x:v>
      </x:c>
      <x:c r="G296" s="35" t="str">
        <x:v>6mm</x:v>
      </x:c>
      <x:c r="H296" s="41" t="str">
        <x:v>推荐/允许</x:v>
      </x:c>
      <x:c r="I296" s="35" t="str">
        <x:v>构件坠落；玻璃破裂；高处坠落</x:v>
      </x:c>
      <x:c r="J296" s="41" t="str">
        <x:v>重大</x:v>
      </x:c>
      <x:c r="K296" s="35" t="str">
        <x:v>幕墙设计人员；技术负责人；施工员；质量员；安全员</x:v>
      </x:c>
      <x:c r="L296" s="35" t="str">
        <x:v>现场目视+尺寸/仪器测量</x:v>
      </x:c>
      <x:c r="M296" s="35" t="str">
        <x:v>建筑幕墙</x:v>
      </x:c>
      <x:c r="N296" s="35" t="str">
        <x:v>GB/T 21086-2007</x:v>
      </x:c>
      <x:c r="O296" s="35" t="str">
        <x:v>推荐性国家标准</x:v>
      </x:c>
      <x:c r="P296" s="35" t="str">
        <x:v>现行（国家标准公开平台截至2026-08-19）</x:v>
      </x:c>
      <x:c r="Q296" s="35" t="str">
        <x:v>6.2.1</x:v>
      </x:c>
      <x:c r="R296"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296" s="41" t="n">
        <x:v>14</x:v>
      </x:c>
      <x:c r="T296" s="44" t="n">
        <x:v>11</x:v>
      </x:c>
    </x:row>
    <x:row r="297" ht="56" customHeight="1">
      <x:c r="A297" s="40" t="str">
        <x:v>MQ-042</x:v>
      </x:c>
      <x:c r="B297" s="41" t="str">
        <x:v>启用</x:v>
      </x:c>
      <x:c r="C297" s="35" t="str">
        <x:v>玻璃幕墙</x:v>
      </x:c>
      <x:c r="D297" s="35" t="str">
        <x:v>玻璃面板选型</x:v>
      </x:c>
      <x:c r="E297" s="35" t="str">
        <x:v>设计、选材、加工、安装或验收建筑幕墙时</x:v>
      </x:c>
      <x:c r="F297" s="35" t="str">
        <x:v>夹层玻璃单片玻璃厚度不宜小于5mm</x:v>
      </x:c>
      <x:c r="G297" s="35" t="str">
        <x:v>5mm</x:v>
      </x:c>
      <x:c r="H297" s="41" t="str">
        <x:v>推荐/允许</x:v>
      </x:c>
      <x:c r="I297" s="35" t="str">
        <x:v>构件坠落；玻璃破裂；高处坠落</x:v>
      </x:c>
      <x:c r="J297" s="41" t="str">
        <x:v>重大</x:v>
      </x:c>
      <x:c r="K297" s="35" t="str">
        <x:v>幕墙设计人员；技术负责人；施工员；质量员；安全员</x:v>
      </x:c>
      <x:c r="L297" s="35" t="str">
        <x:v>现场目视+尺寸/仪器测量</x:v>
      </x:c>
      <x:c r="M297" s="35" t="str">
        <x:v>建筑幕墙</x:v>
      </x:c>
      <x:c r="N297" s="35" t="str">
        <x:v>GB/T 21086-2007</x:v>
      </x:c>
      <x:c r="O297" s="35" t="str">
        <x:v>推荐性国家标准</x:v>
      </x:c>
      <x:c r="P297" s="35" t="str">
        <x:v>现行（国家标准公开平台截至2026-08-19）</x:v>
      </x:c>
      <x:c r="Q297" s="35" t="str">
        <x:v>6.2.1</x:v>
      </x:c>
      <x:c r="R297"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297" s="41" t="n">
        <x:v>14</x:v>
      </x:c>
      <x:c r="T297" s="44" t="n">
        <x:v>11</x:v>
      </x:c>
    </x:row>
    <x:row r="298" ht="56" customHeight="1">
      <x:c r="A298" s="40" t="str">
        <x:v>MQ-043</x:v>
      </x:c>
      <x:c r="B298" s="41" t="str">
        <x:v>启用</x:v>
      </x:c>
      <x:c r="C298" s="35" t="str">
        <x:v>玻璃幕墙</x:v>
      </x:c>
      <x:c r="D298" s="35" t="str">
        <x:v>玻璃面板选型</x:v>
      </x:c>
      <x:c r="E298" s="35" t="str">
        <x:v>设计、选材、加工、安装或验收建筑幕墙时</x:v>
      </x:c>
      <x:c r="F298" s="35" t="str">
        <x:v>夹层玻璃和中空玻璃两片玻璃厚度差不应大于3mm</x:v>
      </x:c>
      <x:c r="G298" s="35" t="str">
        <x:v>3mm</x:v>
      </x:c>
      <x:c r="H298" s="41" t="str">
        <x:v>禁止/不得</x:v>
      </x:c>
      <x:c r="I298" s="35" t="str">
        <x:v>构件坠落；玻璃破裂；高处坠落</x:v>
      </x:c>
      <x:c r="J298" s="41" t="str">
        <x:v>重大</x:v>
      </x:c>
      <x:c r="K298" s="35" t="str">
        <x:v>幕墙设计人员；技术负责人；施工员；质量员；安全员</x:v>
      </x:c>
      <x:c r="L298" s="35" t="str">
        <x:v>现场目视+尺寸/仪器测量</x:v>
      </x:c>
      <x:c r="M298" s="35" t="str">
        <x:v>建筑幕墙</x:v>
      </x:c>
      <x:c r="N298" s="35" t="str">
        <x:v>GB/T 21086-2007</x:v>
      </x:c>
      <x:c r="O298" s="35" t="str">
        <x:v>推荐性国家标准</x:v>
      </x:c>
      <x:c r="P298" s="35" t="str">
        <x:v>现行（国家标准公开平台截至2026-08-19）</x:v>
      </x:c>
      <x:c r="Q298" s="35" t="str">
        <x:v>6.2.1</x:v>
      </x:c>
      <x:c r="R298"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298" s="41" t="n">
        <x:v>14</x:v>
      </x:c>
      <x:c r="T298" s="44" t="n">
        <x:v>11</x:v>
      </x:c>
    </x:row>
    <x:row r="299" ht="56" customHeight="1">
      <x:c r="A299" s="40" t="str">
        <x:v>MQ-044</x:v>
      </x:c>
      <x:c r="B299" s="41" t="str">
        <x:v>启用</x:v>
      </x:c>
      <x:c r="C299" s="35" t="str">
        <x:v>玻璃幕墙</x:v>
      </x:c>
      <x:c r="D299" s="35" t="str">
        <x:v>玻璃面板加工</x:v>
      </x:c>
      <x:c r="E299" s="35" t="str">
        <x:v>设计、选材、加工、安装或验收建筑幕墙时</x:v>
      </x:c>
      <x:c r="F299" s="35" t="str">
        <x:v>幕墙玻璃边缘应进行磨边和倒角处理</x:v>
      </x:c>
      <x:c r="G299" s="35" t="str">
        <x:v>无明确数值；按文本要求判断</x:v>
      </x:c>
      <x:c r="H299" s="41" t="str">
        <x:v>应执行</x:v>
      </x:c>
      <x:c r="I299" s="35" t="str">
        <x:v>构件坠落；玻璃破裂；高处坠落</x:v>
      </x:c>
      <x:c r="J299" s="41" t="str">
        <x:v>重大</x:v>
      </x:c>
      <x:c r="K299" s="35" t="str">
        <x:v>幕墙设计人员；技术负责人；施工员；质量员；安全员</x:v>
      </x:c>
      <x:c r="L299" s="35" t="str">
        <x:v>现场检查+人工确认</x:v>
      </x:c>
      <x:c r="M299" s="35" t="str">
        <x:v>建筑幕墙</x:v>
      </x:c>
      <x:c r="N299" s="35" t="str">
        <x:v>GB/T 21086-2007</x:v>
      </x:c>
      <x:c r="O299" s="35" t="str">
        <x:v>推荐性国家标准</x:v>
      </x:c>
      <x:c r="P299" s="35" t="str">
        <x:v>现行（国家标准公开平台截至2026-08-19）</x:v>
      </x:c>
      <x:c r="Q299" s="35" t="str">
        <x:v>6.2.1</x:v>
      </x:c>
      <x:c r="R299"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299" s="41" t="n">
        <x:v>14</x:v>
      </x:c>
      <x:c r="T299" s="44" t="n">
        <x:v>11</x:v>
      </x:c>
    </x:row>
    <x:row r="300" ht="56" customHeight="1">
      <x:c r="A300" s="40" t="str">
        <x:v>MQ-045</x:v>
      </x:c>
      <x:c r="B300" s="41" t="str">
        <x:v>启用</x:v>
      </x:c>
      <x:c r="C300" s="35" t="str">
        <x:v>玻璃幕墙</x:v>
      </x:c>
      <x:c r="D300" s="35" t="str">
        <x:v>玻璃面板选型</x:v>
      </x:c>
      <x:c r="E300" s="35" t="str">
        <x:v>设计、选材、加工、安装或验收建筑幕墙时</x:v>
      </x:c>
      <x:c r="F300" s="35" t="str">
        <x:v>幕墙玻璃反射比不应大于0.3</x:v>
      </x:c>
      <x:c r="G300" s="35" t="str">
        <x:v>0.3</x:v>
      </x:c>
      <x:c r="H300" s="41" t="str">
        <x:v>禁止/不得</x:v>
      </x:c>
      <x:c r="I300" s="35" t="str">
        <x:v>构件坠落；玻璃破裂；高处坠落</x:v>
      </x:c>
      <x:c r="J300" s="41" t="str">
        <x:v>重大</x:v>
      </x:c>
      <x:c r="K300" s="35" t="str">
        <x:v>幕墙设计人员；技术负责人；施工员；质量员；安全员</x:v>
      </x:c>
      <x:c r="L300" s="35" t="str">
        <x:v>现场目视+尺寸/仪器测量</x:v>
      </x:c>
      <x:c r="M300" s="35" t="str">
        <x:v>建筑幕墙</x:v>
      </x:c>
      <x:c r="N300" s="35" t="str">
        <x:v>GB/T 21086-2007</x:v>
      </x:c>
      <x:c r="O300" s="35" t="str">
        <x:v>推荐性国家标准</x:v>
      </x:c>
      <x:c r="P300" s="35" t="str">
        <x:v>现行（国家标准公开平台截至2026-08-19）</x:v>
      </x:c>
      <x:c r="Q300" s="35" t="str">
        <x:v>6.2.1</x:v>
      </x:c>
      <x:c r="R300"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300" s="41" t="n">
        <x:v>14</x:v>
      </x:c>
      <x:c r="T300" s="44" t="n">
        <x:v>11</x:v>
      </x:c>
    </x:row>
    <x:row r="301" ht="56" customHeight="1">
      <x:c r="A301" s="40" t="str">
        <x:v>MQ-046</x:v>
      </x:c>
      <x:c r="B301" s="41" t="str">
        <x:v>启用</x:v>
      </x:c>
      <x:c r="C301" s="35" t="str">
        <x:v>玻璃幕墙</x:v>
      </x:c>
      <x:c r="D301" s="35" t="str">
        <x:v>中空玻璃加工</x:v>
      </x:c>
      <x:c r="E301" s="35" t="str">
        <x:v>设计、选材、加工、安装或验收建筑幕墙时</x:v>
      </x:c>
      <x:c r="F301" s="35" t="str">
        <x:v>幕墙用中空玻璃气体层厚度不应小于9mm</x:v>
      </x:c>
      <x:c r="G301" s="35" t="str">
        <x:v>9mm</x:v>
      </x:c>
      <x:c r="H301" s="41" t="str">
        <x:v>禁止/不得</x:v>
      </x:c>
      <x:c r="I301" s="35" t="str">
        <x:v>构件坠落；玻璃破裂；高处坠落</x:v>
      </x:c>
      <x:c r="J301" s="41" t="str">
        <x:v>重大</x:v>
      </x:c>
      <x:c r="K301" s="35" t="str">
        <x:v>幕墙设计人员；技术负责人；施工员；质量员；安全员</x:v>
      </x:c>
      <x:c r="L301" s="35" t="str">
        <x:v>现场目视+尺寸/仪器测量</x:v>
      </x:c>
      <x:c r="M301" s="35" t="str">
        <x:v>建筑幕墙</x:v>
      </x:c>
      <x:c r="N301" s="35" t="str">
        <x:v>GB/T 21086-2007</x:v>
      </x:c>
      <x:c r="O301" s="35" t="str">
        <x:v>推荐性国家标准</x:v>
      </x:c>
      <x:c r="P301" s="35" t="str">
        <x:v>现行（国家标准公开平台截至2026-08-19）</x:v>
      </x:c>
      <x:c r="Q301" s="35" t="str">
        <x:v>6.2.1</x:v>
      </x:c>
      <x:c r="R301"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301" s="41" t="n">
        <x:v>14</x:v>
      </x:c>
      <x:c r="T301" s="44" t="n">
        <x:v>11</x:v>
      </x:c>
    </x:row>
    <x:row r="302" ht="56" customHeight="1">
      <x:c r="A302" s="40" t="str">
        <x:v>MQ-047</x:v>
      </x:c>
      <x:c r="B302" s="41" t="str">
        <x:v>启用</x:v>
      </x:c>
      <x:c r="C302" s="35" t="str">
        <x:v>玻璃幕墙</x:v>
      </x:c>
      <x:c r="D302" s="35" t="str">
        <x:v>中空玻璃加工</x:v>
      </x:c>
      <x:c r="E302" s="35" t="str">
        <x:v>设计、选材、加工、安装或验收建筑幕墙时</x:v>
      </x:c>
      <x:c r="F302" s="35" t="str">
        <x:v>隐框和半隐框玻璃幕墙的中空玻璃应采用丁基密封胶和硅酮结构密封胶</x:v>
      </x:c>
      <x:c r="G302" s="35" t="str">
        <x:v>无明确数值；按文本要求判断</x:v>
      </x:c>
      <x:c r="H302" s="41" t="str">
        <x:v>应执行</x:v>
      </x:c>
      <x:c r="I302" s="35" t="str">
        <x:v>构件坠落；玻璃破裂；高处坠落</x:v>
      </x:c>
      <x:c r="J302" s="41" t="str">
        <x:v>重大</x:v>
      </x:c>
      <x:c r="K302" s="35" t="str">
        <x:v>幕墙设计人员；技术负责人；施工员；质量员；安全员</x:v>
      </x:c>
      <x:c r="L302" s="35" t="str">
        <x:v>现场检查+人工确认</x:v>
      </x:c>
      <x:c r="M302" s="35" t="str">
        <x:v>建筑幕墙</x:v>
      </x:c>
      <x:c r="N302" s="35" t="str">
        <x:v>GB/T 21086-2007</x:v>
      </x:c>
      <x:c r="O302" s="35" t="str">
        <x:v>推荐性国家标准</x:v>
      </x:c>
      <x:c r="P302" s="35" t="str">
        <x:v>现行（国家标准公开平台截至2026-08-19）</x:v>
      </x:c>
      <x:c r="Q302" s="35" t="str">
        <x:v>6.2.1</x:v>
      </x:c>
      <x:c r="R302"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302" s="41" t="n">
        <x:v>14</x:v>
      </x:c>
      <x:c r="T302" s="44" t="n">
        <x:v>11</x:v>
      </x:c>
    </x:row>
    <x:row r="303" ht="56" customHeight="1">
      <x:c r="A303" s="40" t="str">
        <x:v>MQ-048</x:v>
      </x:c>
      <x:c r="B303" s="41" t="str">
        <x:v>启用</x:v>
      </x:c>
      <x:c r="C303" s="35" t="str">
        <x:v>玻璃幕墙</x:v>
      </x:c>
      <x:c r="D303" s="35" t="str">
        <x:v>玻璃面板加工</x:v>
      </x:c>
      <x:c r="E303" s="35" t="str">
        <x:v>设计、选材、加工、安装或验收建筑幕墙时</x:v>
      </x:c>
      <x:c r="F303" s="35" t="str">
        <x:v>幕墙用钢化玻璃宜经过热浸处理</x:v>
      </x:c>
      <x:c r="G303" s="35" t="str">
        <x:v>无明确数值；按文本要求判断</x:v>
      </x:c>
      <x:c r="H303" s="41" t="str">
        <x:v>推荐/允许</x:v>
      </x:c>
      <x:c r="I303" s="35" t="str">
        <x:v>构件坠落；玻璃破裂；高处坠落</x:v>
      </x:c>
      <x:c r="J303" s="41" t="str">
        <x:v>重大</x:v>
      </x:c>
      <x:c r="K303" s="35" t="str">
        <x:v>幕墙设计人员；技术负责人；施工员；质量员；安全员</x:v>
      </x:c>
      <x:c r="L303" s="35" t="str">
        <x:v>现场检查+人工确认</x:v>
      </x:c>
      <x:c r="M303" s="35" t="str">
        <x:v>建筑幕墙</x:v>
      </x:c>
      <x:c r="N303" s="35" t="str">
        <x:v>GB/T 21086-2007</x:v>
      </x:c>
      <x:c r="O303" s="35" t="str">
        <x:v>推荐性国家标准</x:v>
      </x:c>
      <x:c r="P303" s="35" t="str">
        <x:v>现行（国家标准公开平台截至2026-08-19）</x:v>
      </x:c>
      <x:c r="Q303" s="35" t="str">
        <x:v>6.2.1</x:v>
      </x:c>
      <x:c r="R303" s="35" t="str">
        <x:v>6.2.1 玻璃面板 a) 幕墙玻璃宜采用安全玻璃,执行标准参见本标准附录 A,应符合其中 A.4中所列标准的规定。 b) 幕墙玻璃的公称厚度应经过强度和刚度验算后确定,单片玻璃、中空玻璃的任一片玻璃厚度 不宜小于6mm。夹层玻璃的单片玻璃厚度不宜小于5mm,夹层玻璃、中空玻璃的两片玻璃 厚度差不应大于3mm。 c) 幕墙玻璃边缘应进行磨边和倒角处理。 d) 幕墙玻璃的反射比不应大于0.3。 e) 幕墙用中空玻璃的间隔铝框可采用连续折弯型或插角型。中空玻璃气体层厚度不应小于 9mm,宜采用双道密封,其中明框玻璃幕墙的中空玻璃可采用丁基密封胶和聚硫密封胶,隐框 和半隐框玻璃幕墙的中空玻璃应采用丁基密封胶和硅酮结构密封胶。 f) 幕墙用钢化玻璃宜经过热浸处理</x:v>
      </x:c>
      <x:c r="S303" s="41" t="n">
        <x:v>14</x:v>
      </x:c>
      <x:c r="T303" s="44" t="n">
        <x:v>11</x:v>
      </x:c>
    </x:row>
    <x:row r="304" ht="56" customHeight="1">
      <x:c r="A304" s="40" t="str">
        <x:v>MQ-049</x:v>
      </x:c>
      <x:c r="B304" s="41" t="str">
        <x:v>启用</x:v>
      </x:c>
      <x:c r="C304" s="35" t="str">
        <x:v>玻璃幕墙</x:v>
      </x:c>
      <x:c r="D304" s="35" t="str">
        <x:v>玻璃组件装配</x:v>
      </x:c>
      <x:c r="E304" s="35" t="str">
        <x:v>设计、选材、加工、安装或验收建筑幕墙时</x:v>
      </x:c>
      <x:c r="F304" s="35" t="str">
        <x:v>玻璃定位垫块的位置和数量应满足承载要求，玻璃面板与槽口之间应可靠密封</x:v>
      </x:c>
      <x:c r="G304" s="35" t="str">
        <x:v>无明确数值；按文本要求判断</x:v>
      </x:c>
      <x:c r="H304" s="41" t="str">
        <x:v>应执行</x:v>
      </x:c>
      <x:c r="I304" s="35" t="str">
        <x:v>构件坠落；玻璃破裂；高处坠落</x:v>
      </x:c>
      <x:c r="J304" s="41" t="str">
        <x:v>重大</x:v>
      </x:c>
      <x:c r="K304" s="35" t="str">
        <x:v>幕墙设计人员；技术负责人；施工员；质量员；安全员</x:v>
      </x:c>
      <x:c r="L304" s="35" t="str">
        <x:v>现场检查+人工确认</x:v>
      </x:c>
      <x:c r="M304" s="35" t="str">
        <x:v>建筑幕墙</x:v>
      </x:c>
      <x:c r="N304" s="35" t="str">
        <x:v>GB/T 21086-2007</x:v>
      </x:c>
      <x:c r="O304" s="35" t="str">
        <x:v>推荐性国家标准</x:v>
      </x:c>
      <x:c r="P304" s="35" t="str">
        <x:v>现行（国家标准公开平台截至2026-08-19）</x:v>
      </x:c>
      <x:c r="Q304" s="35" t="str">
        <x:v>6.3.3.2</x:v>
      </x:c>
      <x:c r="R304" s="35" t="str">
        <x:v>6.3.3.2 玻璃定位垫块位置、数量应满足承载要求,玻璃面板与槽口之间应进行可靠的密封</x:v>
      </x:c>
      <x:c r="S304" s="41" t="n">
        <x:v>17</x:v>
      </x:c>
      <x:c r="T304" s="44" t="n">
        <x:v>14</x:v>
      </x:c>
    </x:row>
    <x:row r="305" ht="56" customHeight="1">
      <x:c r="A305" s="42" t="str">
        <x:v>MQ-050</x:v>
      </x:c>
      <x:c r="B305" s="43" t="str">
        <x:v>启用</x:v>
      </x:c>
      <x:c r="C305" s="38" t="str">
        <x:v>幕墙安装与验收</x:v>
      </x:c>
      <x:c r="D305" s="38" t="str">
        <x:v>开启窗安装验收</x:v>
      </x:c>
      <x:c r="E305" s="38" t="str">
        <x:v>设计、选材、加工、安装或验收建筑幕墙时</x:v>
      </x:c>
      <x:c r="F305" s="38" t="str">
        <x:v>幕墙开启窗应符合设计要求，安装牢固可靠且启闭灵活</x:v>
      </x:c>
      <x:c r="G305" s="38" t="str">
        <x:v>无明确数值；按文本要求判断</x:v>
      </x:c>
      <x:c r="H305" s="43" t="str">
        <x:v>应执行</x:v>
      </x:c>
      <x:c r="I305" s="38" t="str">
        <x:v>构件坠落；玻璃破裂；高处坠落</x:v>
      </x:c>
      <x:c r="J305" s="43" t="str">
        <x:v>重大</x:v>
      </x:c>
      <x:c r="K305" s="38" t="str">
        <x:v>幕墙设计人员；技术负责人；施工员；质量员；安全员</x:v>
      </x:c>
      <x:c r="L305" s="38" t="str">
        <x:v>文件核验</x:v>
      </x:c>
      <x:c r="M305" s="38" t="str">
        <x:v>建筑幕墙</x:v>
      </x:c>
      <x:c r="N305" s="38" t="str">
        <x:v>GB/T 21086-2007</x:v>
      </x:c>
      <x:c r="O305" s="38" t="str">
        <x:v>推荐性国家标准</x:v>
      </x:c>
      <x:c r="P305" s="38" t="str">
        <x:v>现行（国家标准公开平台截至2026-08-19）</x:v>
      </x:c>
      <x:c r="Q305" s="38" t="str">
        <x:v>6.4.4</x:v>
      </x:c>
      <x:c r="R305" s="38" t="str">
        <x:v>6.4.4 幕墙开启窗应符合设计要求,安装牢固可靠,启闭灵活</x:v>
      </x:c>
      <x:c r="S305" s="43" t="n">
        <x:v>19</x:v>
      </x:c>
      <x:c r="T305" s="45" t="n">
        <x:v>16</x:v>
      </x:c>
    </x:row>
  </x:sheetData>
  <x:mergeCells>
    <x:mergeCell ref="A1:T1"/>
    <x:mergeCell ref="A2:T2"/>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cols>
    <x:col min="1" max="1" width="24" hidden="0" customWidth="1"/>
    <x:col min="2" max="2" width="15" hidden="0" customWidth="1"/>
    <x:col min="3" max="3" width="13" hidden="0" customWidth="1"/>
    <x:col min="4" max="4" width="20" hidden="0" customWidth="1"/>
    <x:col min="5" max="5" width="24" hidden="0" customWidth="1"/>
    <x:col min="6" max="6" width="22" hidden="0" customWidth="1"/>
    <x:col min="7" max="7" width="15" hidden="0" customWidth="1"/>
    <x:col min="8" max="8" width="13" hidden="0" customWidth="1"/>
  </x:cols>
  <x:sheetData>
    <x:row r="1" ht="34" customHeight="1">
      <x:c r="A1" s="4" t="str">
        <x:v>规则库统计摘要</x:v>
      </x:c>
      <x:c r="B1" s="4"/>
      <x:c r="C1" s="4"/>
      <x:c r="D1" s="4"/>
      <x:c r="E1" s="4"/>
      <x:c r="F1" s="4"/>
      <x:c r="G1" s="4"/>
      <x:c r="H1" s="4"/>
    </x:row>
    <x:row r="2" ht="30" customHeight="1">
      <x:c r="A2" s="8" t="str">
        <x:v>统计结果由规则库公式实时计算；本页同样不使用背景色或筛选。</x:v>
      </x:c>
      <x:c r="B2" s="8"/>
      <x:c r="C2" s="8"/>
      <x:c r="D2" s="8"/>
      <x:c r="E2" s="8"/>
      <x:c r="F2" s="8"/>
      <x:c r="G2" s="8"/>
      <x:c r="H2" s="8"/>
    </x:row>
    <x:row r="4" ht="27" customHeight="1">
      <x:c r="A4" s="19" t="str">
        <x:v>核心指标</x:v>
      </x:c>
      <x:c r="B4" s="20" t="str">
        <x:v>数值</x:v>
      </x:c>
      <x:c r="C4" s="20" t="str"/>
      <x:c r="D4" s="20" t="str"/>
      <x:c r="E4" s="20" t="str">
        <x:v>核心指标</x:v>
      </x:c>
      <x:c r="F4" s="20" t="str">
        <x:v>数值</x:v>
      </x:c>
      <x:c r="G4" s="20" t="str"/>
      <x:c r="H4" s="21" t="str"/>
    </x:row>
    <x:row r="5" ht="27" customHeight="1">
      <x:c r="A5" s="64" t="str">
        <x:v>规则总数</x:v>
      </x:c>
      <x:c r="B5" s="72" t="n">
        <x:f>COUNTA('规则库'!$A$5:$A$305)</x:f>
        <x:v>301</x:v>
      </x:c>
      <x:c r="C5" s="72"/>
      <x:c r="D5" s="72"/>
      <x:c r="E5" s="65" t="str">
        <x:v>启用规则</x:v>
      </x:c>
      <x:c r="F5" s="72" t="n">
        <x:f>COUNTIF('规则库'!$B$5:$B$305,"启用")</x:f>
        <x:v>301</x:v>
      </x:c>
      <x:c r="G5" s="72"/>
      <x:c r="H5" s="76"/>
    </x:row>
    <x:row r="6" ht="27" customHeight="1">
      <x:c r="A6" s="67" t="str">
        <x:v>重大风险规则</x:v>
      </x:c>
      <x:c r="B6" s="73" t="n">
        <x:f>COUNTIF('规则库'!$J$5:$J$305,"重大")</x:f>
        <x:v>130</x:v>
      </x:c>
      <x:c r="C6" s="73"/>
      <x:c r="D6" s="73"/>
      <x:c r="E6" s="68" t="str">
        <x:v>已纳入来源规范</x:v>
      </x:c>
      <x:c r="F6" s="73" t="n">
        <x:f>COUNTIF('规范来源'!$I$5:$I$15,"是")</x:f>
        <x:v>7</x:v>
      </x:c>
      <x:c r="G6" s="73"/>
      <x:c r="H6" s="77"/>
    </x:row>
    <x:row r="7" ht="27" customHeight="1"/>
    <x:row r="8" ht="27" customHeight="1">
      <x:c r="A8" s="19" t="str">
        <x:v>按场景统计</x:v>
      </x:c>
      <x:c r="B8" s="20" t="str">
        <x:v>规则数</x:v>
      </x:c>
      <x:c r="C8" s="20" t="str">
        <x:v>占比</x:v>
      </x:c>
      <x:c r="D8" s="21" t="str">
        <x:v>说明</x:v>
      </x:c>
      <x:c r="F8" s="19" t="str">
        <x:v>按来源规范统计</x:v>
      </x:c>
      <x:c r="G8" s="20" t="str">
        <x:v>规则数</x:v>
      </x:c>
      <x:c r="H8" s="21" t="str">
        <x:v>占比</x:v>
      </x:c>
    </x:row>
    <x:row r="9" ht="27" customHeight="1">
      <x:c r="A9" s="34" t="str">
        <x:v>施工脚手架</x:v>
      </x:c>
      <x:c r="B9" s="35" t="n">
        <x:f>COUNTIF('规则库'!$C$5:$C$305,A9)</x:f>
        <x:v>43</x:v>
      </x:c>
      <x:c r="C9" s="78" t="n">
        <x:f>B9/$B$5</x:f>
        <x:v>0.14285714285714285</x:v>
      </x:c>
      <x:c r="D9" s="36" t="str">
        <x:v>高频场景</x:v>
      </x:c>
      <x:c r="F9" s="34" t="str">
        <x:v>JGJ 80-2016</x:v>
      </x:c>
      <x:c r="G9" s="35" t="n">
        <x:f>COUNTIF('规则库'!$N$5:$N$305,F9)</x:f>
        <x:v>175</x:v>
      </x:c>
      <x:c r="H9" s="80" t="n">
        <x:f>G9/$B$5</x:f>
        <x:v>0.5813953488372093</x:v>
      </x:c>
    </x:row>
    <x:row r="10" ht="27" customHeight="1">
      <x:c r="A10" s="34" t="str">
        <x:v>高处作业综合管理</x:v>
      </x:c>
      <x:c r="B10" s="35" t="n">
        <x:f>COUNTIF('规则库'!$C$5:$C$305,A10)</x:f>
        <x:v>30</x:v>
      </x:c>
      <x:c r="C10" s="78" t="n">
        <x:f>B10/$B$5</x:f>
        <x:v>0.09966777408637874</x:v>
      </x:c>
      <x:c r="D10" s="36" t="str">
        <x:v>高频场景</x:v>
      </x:c>
      <x:c r="F10" s="34" t="str">
        <x:v>GB/T 21086-2007</x:v>
      </x:c>
      <x:c r="G10" s="35" t="n">
        <x:f>COUNTIF('规则库'!$N$5:$N$305,F10)</x:f>
        <x:v>50</x:v>
      </x:c>
      <x:c r="H10" s="80" t="n">
        <x:f>G10/$B$5</x:f>
        <x:v>0.16611295681063123</x:v>
      </x:c>
    </x:row>
    <x:row r="11" ht="27" customHeight="1">
      <x:c r="A11" s="34" t="str">
        <x:v>悬空作业</x:v>
      </x:c>
      <x:c r="B11" s="35" t="n">
        <x:f>COUNTIF('规则库'!$C$5:$C$305,A11)</x:f>
        <x:v>23</x:v>
      </x:c>
      <x:c r="C11" s="78" t="n">
        <x:f>B11/$B$5</x:f>
        <x:v>0.07641196013289037</x:v>
      </x:c>
      <x:c r="D11" s="36" t="str">
        <x:v>高频场景</x:v>
      </x:c>
      <x:c r="F11" s="34" t="str">
        <x:v>GB 51210-2016</x:v>
      </x:c>
      <x:c r="G11" s="35" t="n">
        <x:f>COUNTIF('规则库'!$N$5:$N$305,F11)</x:f>
        <x:v>42</x:v>
      </x:c>
      <x:c r="H11" s="80" t="n">
        <x:f>G11/$B$5</x:f>
        <x:v>0.13953488372093023</x:v>
      </x:c>
    </x:row>
    <x:row r="12" ht="27" customHeight="1">
      <x:c r="A12" s="34" t="str">
        <x:v>攀登作业</x:v>
      </x:c>
      <x:c r="B12" s="35" t="n">
        <x:f>COUNTIF('规则库'!$C$5:$C$305,A12)</x:f>
        <x:v>19</x:v>
      </x:c>
      <x:c r="C12" s="78" t="n">
        <x:f>B12/$B$5</x:f>
        <x:v>0.06312292358803986</x:v>
      </x:c>
      <x:c r="D12" s="36" t="str"/>
      <x:c r="F12" s="34" t="str">
        <x:v>GB 55023-2022</x:v>
      </x:c>
      <x:c r="G12" s="35" t="n">
        <x:f>COUNTIF('规则库'!$N$5:$N$305,F12)</x:f>
        <x:v>22</x:v>
      </x:c>
      <x:c r="H12" s="80" t="n">
        <x:f>G12/$B$5</x:f>
        <x:v>0.07308970099667775</x:v>
      </x:c>
    </x:row>
    <x:row r="13" ht="27" customHeight="1">
      <x:c r="A13" s="34" t="str">
        <x:v>建筑幕墙设计</x:v>
      </x:c>
      <x:c r="B13" s="35" t="n">
        <x:f>COUNTIF('规则库'!$C$5:$C$305,A13)</x:f>
        <x:v>19</x:v>
      </x:c>
      <x:c r="C13" s="78" t="n">
        <x:f>B13/$B$5</x:f>
        <x:v>0.06312292358803986</x:v>
      </x:c>
      <x:c r="D13" s="36" t="str"/>
      <x:c r="F13" s="34" t="str">
        <x:v>JGJ 59-2011</x:v>
      </x:c>
      <x:c r="G13" s="35" t="n">
        <x:f>COUNTIF('规则库'!$N$5:$N$305,F13)</x:f>
        <x:v>6</x:v>
      </x:c>
      <x:c r="H13" s="80" t="n">
        <x:f>G13/$B$5</x:f>
        <x:v>0.019933554817275746</x:v>
      </x:c>
    </x:row>
    <x:row r="14" ht="27" customHeight="1">
      <x:c r="A14" s="34" t="str">
        <x:v>建筑幕墙材料</x:v>
      </x:c>
      <x:c r="B14" s="35" t="n">
        <x:f>COUNTIF('规则库'!$C$5:$C$305,A14)</x:f>
        <x:v>18</x:v>
      </x:c>
      <x:c r="C14" s="78" t="n">
        <x:f>B14/$B$5</x:f>
        <x:v>0.059800664451827246</x:v>
      </x:c>
      <x:c r="D14" s="36" t="str"/>
      <x:c r="F14" s="34" t="str">
        <x:v>GB 6095-2021</x:v>
      </x:c>
      <x:c r="G14" s="35" t="n">
        <x:f>COUNTIF('规则库'!$N$5:$N$305,F14)</x:f>
        <x:v>4</x:v>
      </x:c>
      <x:c r="H14" s="80" t="n">
        <x:f>G14/$B$5</x:f>
        <x:v>0.013289036544850499</x:v>
      </x:c>
    </x:row>
    <x:row r="15" ht="27" customHeight="1">
      <x:c r="A15" s="34" t="str">
        <x:v>交叉作业</x:v>
      </x:c>
      <x:c r="B15" s="35" t="n">
        <x:f>COUNTIF('规则库'!$C$5:$C$305,A15)</x:f>
        <x:v>17</x:v>
      </x:c>
      <x:c r="C15" s="78" t="n">
        <x:f>B15/$B$5</x:f>
        <x:v>0.05647840531561462</x:v>
      </x:c>
      <x:c r="D15" s="36" t="str"/>
      <x:c r="F15" s="37" t="str">
        <x:v>GB 2811-2019</x:v>
      </x:c>
      <x:c r="G15" s="38" t="n">
        <x:f>COUNTIF('规则库'!$N$5:$N$305,F15)</x:f>
        <x:v>2</x:v>
      </x:c>
      <x:c r="H15" s="81" t="n">
        <x:f>G15/$B$5</x:f>
        <x:v>0.006644518272425249</x:v>
      </x:c>
    </x:row>
    <x:row r="16" ht="27" customHeight="1">
      <x:c r="A16" s="34" t="str">
        <x:v>悬挑式操作平台</x:v>
      </x:c>
      <x:c r="B16" s="35" t="n">
        <x:f>COUNTIF('规则库'!$C$5:$C$305,A16)</x:f>
        <x:v>16</x:v>
      </x:c>
      <x:c r="C16" s="78" t="n">
        <x:f>B16/$B$5</x:f>
        <x:v>0.053156146179401995</x:v>
      </x:c>
      <x:c r="D16" s="36" t="str"/>
    </x:row>
    <x:row r="17" ht="27" customHeight="1">
      <x:c r="A17" s="34" t="str">
        <x:v>落地式操作平台</x:v>
      </x:c>
      <x:c r="B17" s="35" t="n">
        <x:f>COUNTIF('规则库'!$C$5:$C$305,A17)</x:f>
        <x:v>15</x:v>
      </x:c>
      <x:c r="C17" s="78" t="n">
        <x:f>B17/$B$5</x:f>
        <x:v>0.04983388704318937</x:v>
      </x:c>
      <x:c r="D17" s="36" t="str"/>
    </x:row>
    <x:row r="18" ht="27" customHeight="1">
      <x:c r="A18" s="34" t="str">
        <x:v>脚手架搭设与拆除</x:v>
      </x:c>
      <x:c r="B18" s="35" t="n">
        <x:f>COUNTIF('规则库'!$C$5:$C$305,A18)</x:f>
        <x:v>15</x:v>
      </x:c>
      <x:c r="C18" s="78" t="n">
        <x:f>B18/$B$5</x:f>
        <x:v>0.04983388704318937</x:v>
      </x:c>
      <x:c r="D18" s="36" t="str"/>
    </x:row>
    <x:row r="19" ht="27" customHeight="1">
      <x:c r="A19" s="34" t="str">
        <x:v>防护栏杆</x:v>
      </x:c>
      <x:c r="B19" s="35" t="n">
        <x:f>COUNTIF('规则库'!$C$5:$C$305,A19)</x:f>
        <x:v>14</x:v>
      </x:c>
      <x:c r="C19" s="78" t="n">
        <x:f>B19/$B$5</x:f>
        <x:v>0.046511627906976744</x:v>
      </x:c>
      <x:c r="D19" s="36" t="str"/>
    </x:row>
    <x:row r="20" ht="27" customHeight="1">
      <x:c r="A20" s="34" t="str">
        <x:v>洞口作业</x:v>
      </x:c>
      <x:c r="B20" s="35" t="n">
        <x:f>COUNTIF('规则库'!$C$5:$C$305,A20)</x:f>
        <x:v>11</x:v>
      </x:c>
      <x:c r="C20" s="78" t="n">
        <x:f>B20/$B$5</x:f>
        <x:v>0.036544850498338874</x:v>
      </x:c>
      <x:c r="D20" s="36" t="str"/>
    </x:row>
    <x:row r="21" ht="27" customHeight="1">
      <x:c r="A21" s="34" t="str">
        <x:v>建筑施工安全网</x:v>
      </x:c>
      <x:c r="B21" s="35" t="n">
        <x:f>COUNTIF('规则库'!$C$5:$C$305,A21)</x:f>
        <x:v>11</x:v>
      </x:c>
      <x:c r="C21" s="78" t="n">
        <x:f>B21/$B$5</x:f>
        <x:v>0.036544850498338874</x:v>
      </x:c>
      <x:c r="D21" s="36" t="str"/>
    </x:row>
    <x:row r="22" ht="27" customHeight="1">
      <x:c r="A22" s="34" t="str">
        <x:v>玻璃幕墙</x:v>
      </x:c>
      <x:c r="B22" s="35" t="n">
        <x:f>COUNTIF('规则库'!$C$5:$C$305,A22)</x:f>
        <x:v>11</x:v>
      </x:c>
      <x:c r="C22" s="78" t="n">
        <x:f>B22/$B$5</x:f>
        <x:v>0.036544850498338874</x:v>
      </x:c>
      <x:c r="D22" s="36" t="str"/>
    </x:row>
    <x:row r="23" ht="27" customHeight="1">
      <x:c r="A23" s="34" t="str">
        <x:v>临边作业</x:v>
      </x:c>
      <x:c r="B23" s="35" t="n">
        <x:f>COUNTIF('规则库'!$C$5:$C$305,A23)</x:f>
        <x:v>9</x:v>
      </x:c>
      <x:c r="C23" s="78" t="n">
        <x:f>B23/$B$5</x:f>
        <x:v>0.029900332225913623</x:v>
      </x:c>
      <x:c r="D23" s="36" t="str"/>
    </x:row>
    <x:row r="24" ht="27" customHeight="1">
      <x:c r="A24" s="34" t="str">
        <x:v>附着式升降脚手架</x:v>
      </x:c>
      <x:c r="B24" s="35" t="n">
        <x:f>COUNTIF('规则库'!$C$5:$C$305,A24)</x:f>
        <x:v>6</x:v>
      </x:c>
      <x:c r="C24" s="78" t="n">
        <x:f>B24/$B$5</x:f>
        <x:v>0.019933554817275746</x:v>
      </x:c>
      <x:c r="D24" s="36" t="str"/>
    </x:row>
    <x:row r="25" ht="27" customHeight="1">
      <x:c r="A25" s="34" t="str">
        <x:v>操作平台通用</x:v>
      </x:c>
      <x:c r="B25" s="35" t="n">
        <x:f>COUNTIF('规则库'!$C$5:$C$305,A25)</x:f>
        <x:v>5</x:v>
      </x:c>
      <x:c r="C25" s="78" t="n">
        <x:f>B25/$B$5</x:f>
        <x:v>0.016611295681063124</x:v>
      </x:c>
      <x:c r="D25" s="36" t="str"/>
    </x:row>
    <x:row r="26" ht="27" customHeight="1">
      <x:c r="A26" s="34" t="str">
        <x:v>移动式操作平台</x:v>
      </x:c>
      <x:c r="B26" s="35" t="n">
        <x:f>COUNTIF('规则库'!$C$5:$C$305,A26)</x:f>
        <x:v>5</x:v>
      </x:c>
      <x:c r="C26" s="78" t="n">
        <x:f>B26/$B$5</x:f>
        <x:v>0.016611295681063124</x:v>
      </x:c>
      <x:c r="D26" s="36" t="str"/>
    </x:row>
    <x:row r="27" ht="27" customHeight="1">
      <x:c r="A27" s="34" t="str">
        <x:v>高处作业吊篮</x:v>
      </x:c>
      <x:c r="B27" s="35" t="n">
        <x:f>COUNTIF('规则库'!$C$5:$C$305,A27)</x:f>
        <x:v>5</x:v>
      </x:c>
      <x:c r="C27" s="78" t="n">
        <x:f>B27/$B$5</x:f>
        <x:v>0.016611295681063124</x:v>
      </x:c>
      <x:c r="D27" s="36" t="str"/>
    </x:row>
    <x:row r="28" ht="27" customHeight="1">
      <x:c r="A28" s="34" t="str">
        <x:v>安全带使用</x:v>
      </x:c>
      <x:c r="B28" s="35" t="n">
        <x:f>COUNTIF('规则库'!$C$5:$C$305,A28)</x:f>
        <x:v>4</x:v>
      </x:c>
      <x:c r="C28" s="78" t="n">
        <x:f>B28/$B$5</x:f>
        <x:v>0.013289036544850499</x:v>
      </x:c>
      <x:c r="D28" s="36" t="str"/>
    </x:row>
    <x:row r="29" ht="27" customHeight="1">
      <x:c r="A29" s="34" t="str">
        <x:v>安全帽使用</x:v>
      </x:c>
      <x:c r="B29" s="35" t="n">
        <x:f>COUNTIF('规则库'!$C$5:$C$305,A29)</x:f>
        <x:v>2</x:v>
      </x:c>
      <x:c r="C29" s="78" t="n">
        <x:f>B29/$B$5</x:f>
        <x:v>0.006644518272425249</x:v>
      </x:c>
      <x:c r="D29" s="36" t="str"/>
    </x:row>
    <x:row r="30" ht="27" customHeight="1">
      <x:c r="A30" s="34" t="str">
        <x:v>幕墙安装与验收</x:v>
      </x:c>
      <x:c r="B30" s="35" t="n">
        <x:f>COUNTIF('规则库'!$C$5:$C$305,A30)</x:f>
        <x:v>2</x:v>
      </x:c>
      <x:c r="C30" s="78" t="n">
        <x:f>B30/$B$5</x:f>
        <x:v>0.006644518272425249</x:v>
      </x:c>
      <x:c r="D30" s="36" t="str"/>
    </x:row>
    <x:row r="31" ht="27" customHeight="1">
      <x:c r="A31" s="37" t="str">
        <x:v>个体防护</x:v>
      </x:c>
      <x:c r="B31" s="38" t="n">
        <x:f>COUNTIF('规则库'!$C$5:$C$305,A31)</x:f>
        <x:v>1</x:v>
      </x:c>
      <x:c r="C31" s="79" t="n">
        <x:f>B31/$B$5</x:f>
        <x:v>0.0033222591362126247</x:v>
      </x:c>
      <x:c r="D31" s="39" t="str"/>
    </x:row>
    <x:row r="32" ht="27" customHeight="1"/>
    <x:row r="33" ht="27" customHeight="1"/>
    <x:row r="34" ht="27" customHeight="1"/>
    <x:row r="35" ht="27" customHeight="1"/>
  </x:sheetData>
  <x:mergeCells>
    <x:mergeCell ref="A1:H1"/>
    <x:mergeCell ref="A2:H2"/>
    <x:mergeCell ref="B5:D5"/>
    <x:mergeCell ref="F5:H5"/>
    <x:mergeCell ref="B6:D6"/>
    <x:mergeCell ref="F6:H6"/>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RowHeight="15"/>
  <x:cols>
    <x:col min="1" max="1" width="18" hidden="0" customWidth="1"/>
    <x:col min="2" max="2" width="30" hidden="0" customWidth="1"/>
    <x:col min="3" max="3" width="44" hidden="0" customWidth="1"/>
    <x:col min="4" max="4" width="10" hidden="0" customWidth="1"/>
    <x:col min="5" max="5" width="58" hidden="0" customWidth="1"/>
    <x:col min="6" max="6" width="16" hidden="0" customWidth="1"/>
    <x:col min="7" max="7" width="22" hidden="0" customWidth="1"/>
    <x:col min="8" max="8" width="32" hidden="0" customWidth="1"/>
    <x:col min="9" max="9" width="13" hidden="0" customWidth="1"/>
    <x:col min="10" max="10" width="10" hidden="0" customWidth="1"/>
    <x:col min="11" max="11" width="48" hidden="0" customWidth="1"/>
  </x:cols>
  <x:sheetData>
    <x:row r="1" ht="34" customHeight="1">
      <x:c r="A1" s="4" t="str">
        <x:v>规范来源与版本清单</x:v>
      </x:c>
      <x:c r="B1" s="4"/>
      <x:c r="C1" s="4"/>
      <x:c r="D1" s="4"/>
      <x:c r="E1" s="4"/>
      <x:c r="F1" s="4"/>
      <x:c r="G1" s="4"/>
      <x:c r="H1" s="4"/>
      <x:c r="I1" s="4"/>
      <x:c r="J1" s="4"/>
      <x:c r="K1" s="4"/>
    </x:row>
    <x:row r="2" ht="30" customHeight="1">
      <x:c r="A2" s="8" t="str">
        <x:v>列出本地PDF、版本判断与纳入情况；规则数量从规则库自动汇总。</x:v>
      </x:c>
      <x:c r="B2" s="8"/>
      <x:c r="C2" s="8"/>
      <x:c r="D2" s="8"/>
      <x:c r="E2" s="8"/>
      <x:c r="F2" s="8"/>
      <x:c r="G2" s="8"/>
      <x:c r="H2" s="8"/>
      <x:c r="I2" s="8"/>
      <x:c r="J2" s="8"/>
      <x:c r="K2" s="8"/>
    </x:row>
    <x:row r="4">
      <x:c r="A4" s="19" t="str">
        <x:v>标准编号</x:v>
      </x:c>
      <x:c r="B4" s="20" t="str">
        <x:v>规范名称</x:v>
      </x:c>
      <x:c r="C4" s="20" t="str">
        <x:v>本地文件名</x:v>
      </x:c>
      <x:c r="D4" s="20" t="str">
        <x:v>PDF页数</x:v>
      </x:c>
      <x:c r="E4" s="20" t="str">
        <x:v>文件路径</x:v>
      </x:c>
      <x:c r="F4" s="20" t="str">
        <x:v>提取条件</x:v>
      </x:c>
      <x:c r="G4" s="20" t="str">
        <x:v>实施信息</x:v>
      </x:c>
      <x:c r="H4" s="20" t="str">
        <x:v>版本/状态判断</x:v>
      </x:c>
      <x:c r="I4" s="20" t="str">
        <x:v>纳入规则库</x:v>
      </x:c>
      <x:c r="J4" s="20" t="str">
        <x:v>规则数</x:v>
      </x:c>
      <x:c r="K4" s="21" t="str">
        <x:v>质量与使用说明</x:v>
      </x:c>
    </x:row>
    <x:row r="5" ht="55" customHeight="1">
      <x:c r="A5" s="34" t="str">
        <x:v>GB 51210-2016</x:v>
      </x:c>
      <x:c r="B5" s="35" t="str">
        <x:v>建筑施工脚手架安全技术统一标准</x:v>
      </x:c>
      <x:c r="C5" s="35" t="str">
        <x:v>GB 51210-2016 建筑施工脚手架安全技术统一标准.pdf</x:v>
      </x:c>
      <x:c r="D5" s="35" t="n">
        <x:v>151</x:v>
      </x:c>
      <x:c r="E5" s="35" t="str">
        <x:v>C:/Users/ygt/Desktop/数据集/规范或标准/GB 51210-2016 建筑施工脚手架安全技术统一标准.pdf</x:v>
      </x:c>
      <x:c r="F5" s="35" t="str">
        <x:v>PDF文本层</x:v>
      </x:c>
      <x:c r="G5" s="35" t="str">
        <x:v>2017-07-01实施</x:v>
      </x:c>
      <x:c r="H5" s="35" t="str">
        <x:v>现行版本，受GB 55023优先约束</x:v>
      </x:c>
      <x:c r="I5" s="35" t="str">
        <x:v>是</x:v>
      </x:c>
      <x:c r="J5" s="35" t="n">
        <x:f>COUNTIF('规则库'!$N$5:$N$305,A5)</x:f>
        <x:v>42</x:v>
      </x:c>
      <x:c r="K5" s="36" t="str">
        <x:v>新增纳入42条构造、搭拆、连墙件、附着式升降脚手架及验收规则。</x:v>
      </x:c>
    </x:row>
    <x:row r="6" ht="55" customHeight="1">
      <x:c r="A6" s="34" t="str">
        <x:v>GB/T 21086-2007</x:v>
      </x:c>
      <x:c r="B6" s="35" t="str">
        <x:v>建筑幕墙</x:v>
      </x:c>
      <x:c r="C6" s="35" t="str">
        <x:v>21086-2007 建筑幕墙.pdf</x:v>
      </x:c>
      <x:c r="D6" s="35" t="n">
        <x:v>49</x:v>
      </x:c>
      <x:c r="E6" s="35" t="str">
        <x:v>C:/Users/ygt/Desktop/数据集/规范或标准/21086-2007 建筑幕墙.pdf</x:v>
      </x:c>
      <x:c r="F6" s="35" t="str">
        <x:v>PDF文本层</x:v>
      </x:c>
      <x:c r="G6" s="35" t="str">
        <x:v>2008-02-01实施</x:v>
      </x:c>
      <x:c r="H6" s="35" t="str">
        <x:v>现行推荐性国家标准</x:v>
      </x:c>
      <x:c r="I6" s="35" t="str">
        <x:v>是</x:v>
      </x:c>
      <x:c r="J6" s="35" t="n">
        <x:f>COUNTIF('规则库'!$N$5:$N$305,A6)</x:f>
        <x:v>50</x:v>
      </x:c>
      <x:c r="K6" s="36" t="str">
        <x:v>新增纳入50条抗风、抗震、材料、连接及玻璃安全规则；官方状态：https://openstd.samr.gov.cn/bzgk/std/newGbInfo?hcno=4F1A9186C3C3D2E6009A432D0B6D19CF</x:v>
      </x:c>
    </x:row>
    <x:row r="7" ht="55" customHeight="1">
      <x:c r="A7" s="34" t="str">
        <x:v>GB 55023-2022</x:v>
      </x:c>
      <x:c r="B7" s="35" t="str">
        <x:v>施工脚手架通用规范</x:v>
      </x:c>
      <x:c r="C7" s="35" t="str">
        <x:v>GB 55023-2022 施工脚手架通用规范.pdf</x:v>
      </x:c>
      <x:c r="D7" s="35" t="n">
        <x:v>17</x:v>
      </x:c>
      <x:c r="E7" s="35" t="str">
        <x:v>C:/Users/ygt/Desktop/数据集/规范或标准/GB 55023-2022 施工脚手架通用规范.pdf</x:v>
      </x:c>
      <x:c r="F7" s="35" t="str">
        <x:v>OCR</x:v>
      </x:c>
      <x:c r="G7" s="35" t="str">
        <x:v>当前PDF未保留封面日期</x:v>
      </x:c>
      <x:c r="H7" s="35" t="str">
        <x:v>现行；全文强制</x:v>
      </x:c>
      <x:c r="I7" s="35" t="str">
        <x:v>是</x:v>
      </x:c>
      <x:c r="J7" s="35" t="n">
        <x:f>COUNTIF('规则库'!$N$5:$N$305,A7)</x:f>
        <x:v>22</x:v>
      </x:c>
      <x:c r="K7" s="36" t="str">
        <x:v>扫描件OCR后抽取；与其他脚手架标准冲突时优先。</x:v>
      </x:c>
    </x:row>
    <x:row r="8" ht="55" customHeight="1">
      <x:c r="A8" s="34" t="str">
        <x:v>GB/T 19155-2017</x:v>
      </x:c>
      <x:c r="B8" s="35" t="str">
        <x:v>高处作业吊篮</x:v>
      </x:c>
      <x:c r="C8" s="35" t="str">
        <x:v>GB_T 19155-2017 高处作业吊篮.pdf</x:v>
      </x:c>
      <x:c r="D8" s="35" t="n">
        <x:v>3</x:v>
      </x:c>
      <x:c r="E8" s="35" t="str">
        <x:v>C:/Users/ygt/Desktop/数据集/规范或标准/GB_T 19155-2017 高处作业吊篮.pdf</x:v>
      </x:c>
      <x:c r="F8" s="35" t="str">
        <x:v>PDF文本层</x:v>
      </x:c>
      <x:c r="G8" s="35" t="str">
        <x:v>2018-08-01实施</x:v>
      </x:c>
      <x:c r="H8" s="35" t="str">
        <x:v>文件不完整</x:v>
      </x:c>
      <x:c r="I8" s="35" t="str">
        <x:v>否</x:v>
      </x:c>
      <x:c r="J8" s="35" t="n">
        <x:f>COUNTIF('规则库'!$N$5:$N$305,A8)</x:f>
        <x:v>0</x:v>
      </x:c>
      <x:c r="K8" s="36" t="str">
        <x:v>仅3页（封面、目录、前言），不能作为完整规则来源。</x:v>
      </x:c>
    </x:row>
    <x:row r="9" ht="55" customHeight="1">
      <x:c r="A9" s="34" t="str">
        <x:v>GB 2811-2019</x:v>
      </x:c>
      <x:c r="B9" s="35" t="str">
        <x:v>头部防护 安全帽</x:v>
      </x:c>
      <x:c r="C9" s="35" t="str">
        <x:v>GB+2811-2019 安全帽.pdf</x:v>
      </x:c>
      <x:c r="D9" s="35" t="n">
        <x:v>15</x:v>
      </x:c>
      <x:c r="E9" s="35" t="str">
        <x:v>C:/Users/ygt/Desktop/数据集/规范或标准/GB+2811-2019 安全帽.pdf</x:v>
      </x:c>
      <x:c r="F9" s="35" t="str">
        <x:v>OCR</x:v>
      </x:c>
      <x:c r="G9" s="35" t="str">
        <x:v>2020-07-01实施</x:v>
      </x:c>
      <x:c r="H9" s="35" t="str">
        <x:v>现行</x:v>
      </x:c>
      <x:c r="I9" s="35" t="str">
        <x:v>是</x:v>
      </x:c>
      <x:c r="J9" s="35" t="n">
        <x:f>COUNTIF('规则库'!$N$5:$N$305,A9)</x:f>
        <x:v>2</x:v>
      </x:c>
      <x:c r="K9" s="36" t="str">
        <x:v>仅纳入直接影响佩戴与报废判断的核心要求。</x:v>
      </x:c>
    </x:row>
    <x:row r="10" ht="55" customHeight="1">
      <x:c r="A10" s="34" t="str">
        <x:v>GB 3608-2025</x:v>
      </x:c>
      <x:c r="B10" s="35" t="str">
        <x:v>高处作业分级</x:v>
      </x:c>
      <x:c r="C10" s="35" t="str">
        <x:v>GB+3608-2025 高处作业分级.pdf</x:v>
      </x:c>
      <x:c r="D10" s="35" t="n">
        <x:v>15</x:v>
      </x:c>
      <x:c r="E10" s="35" t="str">
        <x:v>C:/Users/ygt/Desktop/数据集/规范或标准/GB+3608-2025 高处作业分级.pdf</x:v>
      </x:c>
      <x:c r="F10" s="35" t="str">
        <x:v>PDF文本层</x:v>
      </x:c>
      <x:c r="G10" s="35" t="str">
        <x:v>2026-05-01实施</x:v>
      </x:c>
      <x:c r="H10" s="35" t="str">
        <x:v>现行</x:v>
      </x:c>
      <x:c r="I10" s="35" t="str">
        <x:v>否</x:v>
      </x:c>
      <x:c r="J10" s="35" t="n">
        <x:f>COUNTIF('规则库'!$N$5:$N$305,A10)</x:f>
        <x:v>0</x:v>
      </x:c>
      <x:c r="K10" s="36" t="str">
        <x:v>主要用于作业分级；本轮聚焦现场控制规则，暂未拆行。</x:v>
      </x:c>
    </x:row>
    <x:row r="11" ht="55" customHeight="1">
      <x:c r="A11" s="34" t="str">
        <x:v>GB 5725-2025</x:v>
      </x:c>
      <x:c r="B11" s="35" t="str">
        <x:v>坠落防护 安全网</x:v>
      </x:c>
      <x:c r="C11" s="35" t="str">
        <x:v>GB+5725-2025 安全网.pdf</x:v>
      </x:c>
      <x:c r="D11" s="35" t="n">
        <x:v>27</x:v>
      </x:c>
      <x:c r="E11" s="35" t="str">
        <x:v>C:/Users/ygt/Desktop/数据集/规范或标准/GB+5725-2025 安全网.pdf</x:v>
      </x:c>
      <x:c r="F11" s="35" t="str">
        <x:v>PDF文本层</x:v>
      </x:c>
      <x:c r="G11" s="35" t="str">
        <x:v>2026-09-01实施</x:v>
      </x:c>
      <x:c r="H11" s="35" t="str">
        <x:v>待实施</x:v>
      </x:c>
      <x:c r="I11" s="35" t="str">
        <x:v>否</x:v>
      </x:c>
      <x:c r="J11" s="35" t="n">
        <x:f>COUNTIF('规则库'!$N$5:$N$305,A11)</x:f>
        <x:v>0</x:v>
      </x:c>
      <x:c r="K11" s="36" t="str">
        <x:v>当前日期为2026-08-19，尚未实施；不得与现行规则混用。</x:v>
      </x:c>
    </x:row>
    <x:row r="12" ht="55" customHeight="1">
      <x:c r="A12" s="34" t="str">
        <x:v>GB 6095-2021</x:v>
      </x:c>
      <x:c r="B12" s="35" t="str">
        <x:v>坠落防护 安全带</x:v>
      </x:c>
      <x:c r="C12" s="35" t="str">
        <x:v>GB+6095-2021 安全带.pdf</x:v>
      </x:c>
      <x:c r="D12" s="35" t="n">
        <x:v>22</x:v>
      </x:c>
      <x:c r="E12" s="35" t="str">
        <x:v>C:/Users/ygt/Desktop/数据集/规范或标准/GB+6095-2021 安全带.pdf</x:v>
      </x:c>
      <x:c r="F12" s="35" t="str">
        <x:v>OCR</x:v>
      </x:c>
      <x:c r="G12" s="35" t="str">
        <x:v>2022-09-01实施</x:v>
      </x:c>
      <x:c r="H12" s="35" t="str">
        <x:v>现行</x:v>
      </x:c>
      <x:c r="I12" s="35" t="str">
        <x:v>是</x:v>
      </x:c>
      <x:c r="J12" s="35" t="n">
        <x:f>COUNTIF('规则库'!$N$5:$N$305,A12)</x:f>
        <x:v>4</x:v>
      </x:c>
      <x:c r="K12" s="36" t="str">
        <x:v>仅纳入坠落悬挂选型、连接位置、绳长和培训要求。</x:v>
      </x:c>
    </x:row>
    <x:row r="13" ht="55" customHeight="1">
      <x:c r="A13" s="34" t="str">
        <x:v>JGJ 130-2011</x:v>
      </x:c>
      <x:c r="B13" s="35" t="str">
        <x:v>建筑施工扣件式钢管脚手架安全技术规范</x:v>
      </x:c>
      <x:c r="C13" s="35" t="str">
        <x:v>JGJ130-2011 建筑施工扣件式钢管脚手架.pdf</x:v>
      </x:c>
      <x:c r="D13" s="35" t="n">
        <x:v>130</x:v>
      </x:c>
      <x:c r="E13" s="35" t="str">
        <x:v>C:/Users/ygt/Desktop/数据集/规范或标准/JGJ130-2011 建筑施工扣件式钢管脚手架.pdf</x:v>
      </x:c>
      <x:c r="F13" s="35" t="str">
        <x:v>PDF文本层</x:v>
      </x:c>
      <x:c r="G13" s="35" t="str">
        <x:v>2011-12-01实施</x:v>
      </x:c>
      <x:c r="H13" s="35" t="str">
        <x:v>现行版本，受GB 55023优先约束</x:v>
      </x:c>
      <x:c r="I13" s="35" t="str">
        <x:v>否</x:v>
      </x:c>
      <x:c r="J13" s="35" t="n">
        <x:f>COUNTIF('规则库'!$N$5:$N$305,A13)</x:f>
        <x:v>0</x:v>
      </x:c>
      <x:c r="K13" s="36" t="str">
        <x:v>来源页含“限内部使用”提示；本轮未纳入，提交前应核查授权与官方文本。</x:v>
      </x:c>
    </x:row>
    <x:row r="14" ht="55" customHeight="1">
      <x:c r="A14" s="34" t="str">
        <x:v>JGJ 59-2011</x:v>
      </x:c>
      <x:c r="B14" s="35" t="str">
        <x:v>建筑施工安全检查标准</x:v>
      </x:c>
      <x:c r="C14" s="35" t="str">
        <x:v>JGJ59—2011  建筑施工安全检查标准.pdf</x:v>
      </x:c>
      <x:c r="D14" s="35" t="n">
        <x:v>56</x:v>
      </x:c>
      <x:c r="E14" s="35" t="str">
        <x:v>C:/Users/ygt/Desktop/数据集/规范或标准/JGJ59—2011  建筑施工安全检查标准.pdf</x:v>
      </x:c>
      <x:c r="F14" s="35" t="str">
        <x:v>PDF文本层</x:v>
      </x:c>
      <x:c r="G14" s="35" t="str">
        <x:v>2012-07-01实施</x:v>
      </x:c>
      <x:c r="H14" s="35" t="str">
        <x:v>现行版本</x:v>
      </x:c>
      <x:c r="I14" s="35" t="str">
        <x:v>是</x:v>
      </x:c>
      <x:c r="J14" s="35" t="n">
        <x:f>COUNTIF('规则库'!$N$5:$N$305,A14)</x:f>
        <x:v>6</x:v>
      </x:c>
      <x:c r="K14" s="36" t="str">
        <x:v>补充吊篮和安全帽现场检查规则。</x:v>
      </x:c>
    </x:row>
    <x:row r="15" ht="55" customHeight="1">
      <x:c r="A15" s="37" t="str">
        <x:v>JGJ 80-2016</x:v>
      </x:c>
      <x:c r="B15" s="38" t="str">
        <x:v>建筑施工高处作业安全技术规范</x:v>
      </x:c>
      <x:c r="C15" s="38" t="str">
        <x:v>JGJ80-2016 建筑施工高处作业安全技术规范.pdf</x:v>
      </x:c>
      <x:c r="D15" s="38" t="n">
        <x:v>35</x:v>
      </x:c>
      <x:c r="E15" s="38" t="str">
        <x:v>C:/Users/ygt/Desktop/数据集/规范或标准/JGJ80-2016 建筑施工高处作业安全技术规范.pdf</x:v>
      </x:c>
      <x:c r="F15" s="38" t="str">
        <x:v>OCR</x:v>
      </x:c>
      <x:c r="G15" s="38" t="str">
        <x:v>当前PDF未保留封面日期</x:v>
      </x:c>
      <x:c r="H15" s="38" t="str">
        <x:v>现行版本，提交前建议官方复核</x:v>
      </x:c>
      <x:c r="I15" s="38" t="str">
        <x:v>是</x:v>
      </x:c>
      <x:c r="J15" s="38" t="n">
        <x:f>COUNTIF('规则库'!$N$5:$N$305,A15)</x:f>
        <x:v>175</x:v>
      </x:c>
      <x:c r="K15" s="39" t="str">
        <x:v>主规则来源；OCR识别后进行了条款级拆分与常见错误清洗。</x:v>
      </x:c>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5"/>
  <x:cols>
    <x:col min="1" max="1" width="18" hidden="0" customWidth="1"/>
    <x:col min="2" max="2" width="58" hidden="0" customWidth="1"/>
    <x:col min="3" max="3" width="34" hidden="0" customWidth="1"/>
    <x:col min="4" max="4" width="36" hidden="0" customWidth="1"/>
  </x:cols>
  <x:sheetData>
    <x:row r="1" ht="34" customHeight="1">
      <x:c r="A1" s="4" t="str">
        <x:v>字段说明与建议枚举</x:v>
      </x:c>
      <x:c r="B1" s="4"/>
      <x:c r="C1" s="4"/>
      <x:c r="D1" s="4"/>
    </x:row>
    <x:row r="2" ht="30" customHeight="1">
      <x:c r="A2" s="8" t="str">
        <x:v>用于统一Agent、数据标注人员和安全专业人员对保留字段的理解。</x:v>
      </x:c>
      <x:c r="B2" s="8"/>
      <x:c r="C2" s="8"/>
      <x:c r="D2" s="8"/>
    </x:row>
    <x:row r="4">
      <x:c r="A4" s="19" t="str">
        <x:v>字段</x:v>
      </x:c>
      <x:c r="B4" s="20" t="str">
        <x:v>定义</x:v>
      </x:c>
      <x:c r="C4" s="20" t="str">
        <x:v>建议类型/枚举</x:v>
      </x:c>
      <x:c r="D4" s="21" t="str">
        <x:v>示例</x:v>
      </x:c>
    </x:row>
    <x:row r="5" ht="42" customHeight="1">
      <x:c r="A5" s="94" t="str">
        <x:v>规则编号</x:v>
      </x:c>
      <x:c r="B5" s="95" t="str">
        <x:v>稳定唯一ID，按场景前缀连续编号。</x:v>
      </x:c>
      <x:c r="C5" s="95" t="str">
        <x:v>文本ID</x:v>
      </x:c>
      <x:c r="D5" s="96" t="str">
        <x:v>LB-001</x:v>
      </x:c>
    </x:row>
    <x:row r="6" ht="42" customHeight="1">
      <x:c r="A6" s="94" t="str">
        <x:v>启用状态</x:v>
      </x:c>
      <x:c r="B6" s="95" t="str">
        <x:v>规则是否进入当前检索与判断范围。</x:v>
      </x:c>
      <x:c r="C6" s="95" t="str">
        <x:v>启用/停用/待核验</x:v>
      </x:c>
      <x:c r="D6" s="96" t="str">
        <x:v>启用</x:v>
      </x:c>
    </x:row>
    <x:row r="7" ht="42" customHeight="1">
      <x:c r="A7" s="94" t="str">
        <x:v>场景</x:v>
      </x:c>
      <x:c r="B7" s="95" t="str">
        <x:v>规则适用的作业场景。</x:v>
      </x:c>
      <x:c r="C7" s="95" t="str">
        <x:v>受控枚举</x:v>
      </x:c>
      <x:c r="D7" s="96" t="str">
        <x:v>临边作业</x:v>
      </x:c>
    </x:row>
    <x:row r="8" ht="42" customHeight="1">
      <x:c r="A8" s="94" t="str">
        <x:v>适用工序</x:v>
      </x:c>
      <x:c r="B8" s="95" t="str">
        <x:v>规则发生在施工流程中的位置。</x:v>
      </x:c>
      <x:c r="C8" s="95" t="str">
        <x:v>文本</x:v>
      </x:c>
      <x:c r="D8" s="96" t="str">
        <x:v>临边防护</x:v>
      </x:c>
    </x:row>
    <x:row r="9" ht="42" customHeight="1">
      <x:c r="A9" s="94" t="str">
        <x:v>触发条件</x:v>
      </x:c>
      <x:c r="B9" s="95" t="str">
        <x:v>满足该条件时才进入规则判断。</x:v>
      </x:c>
      <x:c r="C9" s="95" t="str">
        <x:v>自然语言条件</x:v>
      </x:c>
      <x:c r="D9" s="96" t="str">
        <x:v>存在临边且有坠落风险时</x:v>
      </x:c>
    </x:row>
    <x:row r="10" ht="42" customHeight="1">
      <x:c r="A10" s="94" t="str">
        <x:v>具体要求</x:v>
      </x:c>
      <x:c r="B10" s="95" t="str">
        <x:v>拆分后的单一判断要求。</x:v>
      </x:c>
      <x:c r="C10" s="95" t="str">
        <x:v>一行一个原子规则</x:v>
      </x:c>
      <x:c r="D10" s="96" t="str">
        <x:v>临空侧设置防护栏杆</x:v>
      </x:c>
    </x:row>
    <x:row r="11" ht="42" customHeight="1">
      <x:c r="A11" s="94" t="str">
        <x:v>数值或阈值</x:v>
      </x:c>
      <x:c r="B11" s="95" t="str">
        <x:v>可比较的数字；无数字时给出文本判断提示。</x:v>
      </x:c>
      <x:c r="C11" s="95" t="str">
        <x:v>数字+单位/备注</x:v>
      </x:c>
      <x:c r="D11" s="96" t="str">
        <x:v>高度≥1.2m</x:v>
      </x:c>
    </x:row>
    <x:row r="12" ht="42" customHeight="1">
      <x:c r="A12" s="94" t="str">
        <x:v>规则效力</x:v>
      </x:c>
      <x:c r="B12" s="95" t="str">
        <x:v>根据必须、严禁、不得、应、宜等用词归类。</x:v>
      </x:c>
      <x:c r="C12" s="95" t="str">
        <x:v>必须/禁止或不得/应执行/推荐或允许</x:v>
      </x:c>
      <x:c r="D12" s="96" t="str">
        <x:v>禁止/不得</x:v>
      </x:c>
    </x:row>
    <x:row r="13" ht="42" customHeight="1">
      <x:c r="A13" s="94" t="str">
        <x:v>危险源</x:v>
      </x:c>
      <x:c r="B13" s="95" t="str">
        <x:v>不满足规则可能引起的主要风险。</x:v>
      </x:c>
      <x:c r="C13" s="95" t="str">
        <x:v>多值文本</x:v>
      </x:c>
      <x:c r="D13" s="96" t="str">
        <x:v>高处坠落；物体打击</x:v>
      </x:c>
    </x:row>
    <x:row r="14" ht="42" customHeight="1">
      <x:c r="A14" s="94" t="str">
        <x:v>风险等级</x:v>
      </x:c>
      <x:c r="B14" s="95" t="str">
        <x:v>规则库内部用于排序，不替代正式风险分级。</x:v>
      </x:c>
      <x:c r="C14" s="95" t="str">
        <x:v>重大/较大</x:v>
      </x:c>
      <x:c r="D14" s="96" t="str">
        <x:v>重大</x:v>
      </x:c>
    </x:row>
    <x:row r="15" ht="42" customHeight="1">
      <x:c r="A15" s="94" t="str">
        <x:v>适用岗位</x:v>
      </x:c>
      <x:c r="B15" s="95" t="str">
        <x:v>负责执行、检查或审批的岗位。</x:v>
      </x:c>
      <x:c r="C15" s="95" t="str">
        <x:v>多值文本</x:v>
      </x:c>
      <x:c r="D15" s="96" t="str">
        <x:v>安全员；施工员</x:v>
      </x:c>
    </x:row>
    <x:row r="16" ht="42" customHeight="1">
      <x:c r="A16" s="94" t="str">
        <x:v>检查方式</x:v>
      </x:c>
      <x:c r="B16" s="95" t="str">
        <x:v>建议采用的现场核验手段。</x:v>
      </x:c>
      <x:c r="C16" s="95" t="str">
        <x:v>目视/测量/文件核验/组合</x:v>
      </x:c>
      <x:c r="D16" s="96" t="str">
        <x:v>现场目视+尺寸测量</x:v>
      </x:c>
    </x:row>
    <x:row r="17" ht="42" customHeight="1">
      <x:c r="A17" s="94" t="str">
        <x:v>规范名称</x:v>
      </x:c>
      <x:c r="B17" s="95" t="str">
        <x:v>来源规范全称。</x:v>
      </x:c>
      <x:c r="C17" s="95" t="str">
        <x:v>文本</x:v>
      </x:c>
      <x:c r="D17" s="96" t="str">
        <x:v>建筑施工高处作业安全技术规范</x:v>
      </x:c>
    </x:row>
    <x:row r="18" ht="42" customHeight="1">
      <x:c r="A18" s="94" t="str">
        <x:v>标准编号</x:v>
      </x:c>
      <x:c r="B18" s="95" t="str">
        <x:v>规范版本标识。</x:v>
      </x:c>
      <x:c r="C18" s="95" t="str">
        <x:v>文本</x:v>
      </x:c>
      <x:c r="D18" s="96" t="str">
        <x:v>JGJ 80-2016</x:v>
      </x:c>
    </x:row>
    <x:row r="19" ht="42" customHeight="1">
      <x:c r="A19" s="94" t="str">
        <x:v>标准层级</x:v>
      </x:c>
      <x:c r="B19" s="95" t="str">
        <x:v>国家、行业及全文强制等层级。</x:v>
      </x:c>
      <x:c r="C19" s="95" t="str">
        <x:v>文本</x:v>
      </x:c>
      <x:c r="D19" s="96" t="str">
        <x:v>行业标准</x:v>
      </x:c>
    </x:row>
    <x:row r="20" ht="42" customHeight="1">
      <x:c r="A20" s="94" t="str">
        <x:v>标准状态</x:v>
      </x:c>
      <x:c r="B20" s="95" t="str">
        <x:v>当前版本和冲突优先级提示。</x:v>
      </x:c>
      <x:c r="C20" s="95" t="str">
        <x:v>现行/待实施/不完整/待核验</x:v>
      </x:c>
      <x:c r="D20" s="96" t="str">
        <x:v>现行</x:v>
      </x:c>
    </x:row>
    <x:row r="21" ht="42" customHeight="1">
      <x:c r="A21" s="94" t="str">
        <x:v>条款编号</x:v>
      </x:c>
      <x:c r="B21" s="95" t="str">
        <x:v>原始规范条款号。</x:v>
      </x:c>
      <x:c r="C21" s="95" t="str">
        <x:v>文本</x:v>
      </x:c>
      <x:c r="D21" s="96" t="str">
        <x:v>4.1.1</x:v>
      </x:c>
    </x:row>
    <x:row r="22" ht="42" customHeight="1">
      <x:c r="A22" s="94" t="str">
        <x:v>原文</x:v>
      </x:c>
      <x:c r="B22" s="95" t="str">
        <x:v>保留完整条文，拆分多行时可重复。</x:v>
      </x:c>
      <x:c r="C22" s="95" t="str">
        <x:v>来源文本</x:v>
      </x:c>
      <x:c r="D22" s="96" t="str">
        <x:v>规范原条文</x:v>
      </x:c>
    </x:row>
    <x:row r="23" ht="42" customHeight="1">
      <x:c r="A23" s="94" t="str">
        <x:v>PDF页码</x:v>
      </x:c>
      <x:c r="B23" s="95" t="str">
        <x:v>从PDF第1页开始的物理页码。</x:v>
      </x:c>
      <x:c r="C23" s="95" t="str">
        <x:v>整数</x:v>
      </x:c>
      <x:c r="D23" s="96" t="str">
        <x:v>13</x:v>
      </x:c>
    </x:row>
    <x:row r="24" ht="42" customHeight="1">
      <x:c r="A24" s="97" t="str">
        <x:v>正文页码</x:v>
      </x:c>
      <x:c r="B24" s="98" t="str">
        <x:v>按PDF正文页脚换算的页码；扫描异常时应复核。</x:v>
      </x:c>
      <x:c r="C24" s="98" t="str">
        <x:v>整数</x:v>
      </x:c>
      <x:c r="D24" s="99" t="str">
        <x:v>7</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Agent使用说明与质量边界</x:v>
      </x:c>
      <x:c r="B1" s="4"/>
      <x:c r="C1" s="4"/>
      <x:c r="D1" s="4"/>
      <x:c r="E1" s="4"/>
      <x:c r="F1" s="4"/>
      <x:c r="G1" s="4"/>
      <x:c r="H1" s="4"/>
    </x:row>
    <x:row r="2" ht="30" customHeight="1">
      <x:c r="A2" s="8" t="str">
        <x:v>这是一套可检索和比较的规则数据，不替代安全专业人员、监理或主管部门的正式判断。</x:v>
      </x:c>
      <x:c r="B2" s="8"/>
      <x:c r="C2" s="8"/>
      <x:c r="D2" s="8"/>
      <x:c r="E2" s="8"/>
      <x:c r="F2" s="8"/>
      <x:c r="G2" s="8"/>
      <x:c r="H2" s="8"/>
    </x:row>
    <x:row r="4" ht="34" customHeight="1">
      <x:c r="A4" s="102" t="str">
        <x:v>一、推荐判断流程</x:v>
      </x:c>
      <x:c r="B4" s="102"/>
      <x:c r="C4" s="105" t="str">
        <x:v>1. 识别场景与工序；2. 选取启用且现行的规则；3. 判断触发条件；4. 比较阈值或文本要求；5. 输出“符合、不符合、信息不足、不适用”；6. 返回规范、条款、页码和原文；7. 低置信度或重大风险转人工。</x:v>
      </x:c>
      <x:c r="D4" s="105"/>
      <x:c r="E4" s="105"/>
      <x:c r="F4" s="105"/>
      <x:c r="G4" s="105"/>
      <x:c r="H4" s="105"/>
    </x:row>
    <x:row r="5" ht="34" customHeight="1">
      <x:c r="C5" s="106"/>
      <x:c r="D5" s="106"/>
      <x:c r="E5" s="106"/>
      <x:c r="F5" s="106"/>
      <x:c r="G5" s="106"/>
      <x:c r="H5" s="106"/>
    </x:row>
    <x:row r="7" ht="34" customHeight="1">
      <x:c r="A7" s="102" t="str">
        <x:v>二、版本冲突顺序</x:v>
      </x:c>
      <x:c r="B7" s="102"/>
      <x:c r="C7" s="105" t="str">
        <x:v>先核对法律法规、项目所在地规定和官方现行状态；脚手架规则中GB 55023-2022为全文强制性通用规范，其他标准与其不一致时以前者为准；同层级一般采用更新版本。</x:v>
      </x:c>
      <x:c r="D7" s="105"/>
      <x:c r="E7" s="105"/>
      <x:c r="F7" s="105"/>
      <x:c r="G7" s="105"/>
      <x:c r="H7" s="105"/>
    </x:row>
    <x:row r="8" ht="34" customHeight="1">
      <x:c r="C8" s="106"/>
      <x:c r="D8" s="106"/>
      <x:c r="E8" s="106"/>
      <x:c r="F8" s="106"/>
      <x:c r="G8" s="106"/>
      <x:c r="H8" s="106"/>
    </x:row>
    <x:row r="10" ht="34" customHeight="1">
      <x:c r="A10" s="102" t="str">
        <x:v>三、当前禁用来源</x:v>
      </x:c>
      <x:c r="B10" s="102"/>
      <x:c r="C10" s="105" t="str">
        <x:v>GB 5725-2025截至2026-08-19尚未实施（实施日2026-09-01）；GB/T 19155-2017本地PDF仅3页且不完整。这两份文件不得作为当前完整判断依据。</x:v>
      </x:c>
      <x:c r="D10" s="105"/>
      <x:c r="E10" s="105"/>
      <x:c r="F10" s="105"/>
      <x:c r="G10" s="105"/>
      <x:c r="H10" s="105"/>
    </x:row>
    <x:row r="11" ht="34" customHeight="1">
      <x:c r="C11" s="106"/>
      <x:c r="D11" s="106"/>
      <x:c r="E11" s="106"/>
      <x:c r="F11" s="106"/>
      <x:c r="G11" s="106"/>
      <x:c r="H11" s="106"/>
    </x:row>
    <x:row r="13" ht="34" customHeight="1">
      <x:c r="A13" s="102" t="str">
        <x:v>四、原子化原则</x:v>
      </x:c>
      <x:c r="B13" s="102"/>
      <x:c r="C13" s="105" t="str">
        <x:v>一条文存在多个独立的“应/不得/严禁”时拆为多行；拆分行共享规范名称、条款号、原文和页码，以便Agent逐项判断且保持追溯。</x:v>
      </x:c>
      <x:c r="D13" s="105"/>
      <x:c r="E13" s="105"/>
      <x:c r="F13" s="105"/>
      <x:c r="G13" s="105"/>
      <x:c r="H13" s="105"/>
    </x:row>
    <x:row r="14" ht="34" customHeight="1">
      <x:c r="C14" s="106"/>
      <x:c r="D14" s="106"/>
      <x:c r="E14" s="106"/>
      <x:c r="F14" s="106"/>
      <x:c r="G14" s="106"/>
      <x:c r="H14" s="106"/>
    </x:row>
    <x:row r="16" ht="34" customHeight="1">
      <x:c r="A16" s="102" t="str">
        <x:v>五、质量边界</x:v>
      </x:c>
      <x:c r="B16" s="102"/>
      <x:c r="C16" s="105" t="str">
        <x:v>301条规则已核对条款映射并清理常见OCR错误，但尚未经过安全工程师逐条终审。用于比赛演示可作为原型知识库；用于真实项目决策前必须完成版本、数字和适用边界复核。</x:v>
      </x:c>
      <x:c r="D16" s="105"/>
      <x:c r="E16" s="105"/>
      <x:c r="F16" s="105"/>
      <x:c r="G16" s="105"/>
      <x:c r="H16" s="105"/>
    </x:row>
    <x:row r="17" ht="34" customHeight="1">
      <x:c r="C17" s="106"/>
      <x:c r="D17" s="106"/>
      <x:c r="E17" s="106"/>
      <x:c r="F17" s="106"/>
      <x:c r="G17" s="106"/>
      <x:c r="H17" s="106"/>
    </x:row>
  </x:sheetData>
  <x:mergeCells>
    <x:mergeCell ref="A1:H1"/>
    <x:mergeCell ref="A2:H2"/>
    <x:mergeCell ref="A4:B4"/>
    <x:mergeCell ref="C4:H5"/>
    <x:mergeCell ref="A7:B7"/>
    <x:mergeCell ref="C7:H8"/>
    <x:mergeCell ref="A10:B10"/>
    <x:mergeCell ref="C10:H11"/>
    <x:mergeCell ref="A13:B13"/>
    <x:mergeCell ref="C13:H14"/>
    <x:mergeCell ref="A16:B16"/>
    <x:mergeCell ref="C16:H17"/>
  </x:mergeCells>
  <x:pageMargins left="0.7" right="0.7" top="0.75" bottom="0.75" header="0.3" footer="0.3"/>
</x:worksheet>
</file>